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0e5d0e8d2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rramental Manuteção" sheetId="1" r:id="Rd7d366d86fc54059"/>
    <x:sheet xmlns:r="http://schemas.openxmlformats.org/officeDocument/2006/relationships" name="Lista de materiais" sheetId="2" r:id="R55c54c77513046a2"/>
    <x:sheet xmlns:r="http://schemas.openxmlformats.org/officeDocument/2006/relationships" name="Conferência valores" sheetId="3" r:id="R7e6d07de072d4426"/>
  </x:sheets>
</x:workbook>
</file>

<file path=xl/comments1.xml><?xml version="1.0" encoding="utf-8"?>
<x:comments xmlns:x="http://schemas.openxmlformats.org/spreadsheetml/2006/main">
  <x:authors>
    <x:author>Rodrigo</x:author>
  </x:authors>
  <x:commentList>
    <x:comment ref="G193" authorId="0">
      <x:text>
        <x:r>
          <x:t>20% REFERENTE A INSS
3% ACIDENTES DE TRABALHO
5,8% SESC/SESI/SENAI</x:t>
        </x:r>
      </x:text>
    </x:comment>
    <x:comment ref="J193" authorId="0">
      <x:text>
        <x:r>
          <x:t>20% REFERENTE A INSS
3% ACIDENTES DE TRABALHO
5,8% SESC/SESI/SENAI</x:t>
        </x:r>
      </x:text>
    </x:comment>
    <x:comment ref="M193" authorId="0">
      <x:text>
        <x:r>
          <x:t>20% REFERENTE A INSS
3% ACIDENTES DE TRABALHO
5,8% SESC/SESI/SENAI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<x:sst xmlns:x="http://schemas.openxmlformats.org/spreadsheetml/2006/main">
  <x:si>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BASE INFORMAÇÕES - LICITAÇÃO ELETRÔNICA COPEL DIS Nº SGD210011/2021</x:t>
  </x:si>
  <x:si>
    <x:t xml:space="preserve">2. EQUIPE MANUTENÇÃO LINHA MORTA  POR TURMA.</x:t>
  </x:si>
  <x:si>
    <x:t xml:space="preserve">SQ</x:t>
  </x:si>
  <x:si>
    <x:t xml:space="preserve">EQUIPAMENTOS E FERRAMENTAS DE USO COLETIVO 3 elementos</x:t>
  </x:si>
  <x:si>
    <x:t xml:space="preserve">ENSAIO</x:t>
  </x:si>
  <x:si>
    <x:t xml:space="preserve">QTD</x:t>
  </x:si>
  <x:si>
    <x:t xml:space="preserve">VALOR UNIT</x:t>
  </x:si>
  <x:si>
    <x:t xml:space="preserve">VALOR TOTAL</x:t>
  </x:si>
  <x:si>
    <x:t xml:space="preserve">Alicate compressão hidráulica 12 t - Acionamento Manual NTC 890020</x:t>
  </x:si>
  <x:si>
    <x:t xml:space="preserve">EM</x:t>
  </x:si>
  <x:si>
    <x:t xml:space="preserve">L</x:t>
  </x:si>
  <x:si>
    <x:t xml:space="preserve">Alicate compressão mecânica 4 t</x:t>
  </x:si>
  <x:si>
    <x:t xml:space="preserve">Alicate prendedor com lâmina deslizante (bomba d’água) de 305 mm de comprimento</x:t>
  </x:si>
  <x:si>
    <x:t xml:space="preserve">a </x:t>
  </x:si>
  <x:si>
    <x:t xml:space="preserve">Alicate tipo algema para corte de cabo CAA</x:t>
  </x:si>
  <x:si>
    <x:t xml:space="preserve">Alicate universal (200mm) cobertura isolada</x:t>
  </x:si>
  <x:si>
    <x:t xml:space="preserve">EE</x:t>
  </x:si>
  <x:si>
    <x:t xml:space="preserve">Arco de serra (300 mm) com lâmina</x:t>
  </x:si>
  <x:si>
    <x:t xml:space="preserve">Balde de lona para içar materiais</x:t>
  </x:si>
  <x:si>
    <x:t xml:space="preserve">Bandeira sinalizadora de 300 X 300 mm 1073</x:t>
  </x:si>
  <x:si>
    <x:t xml:space="preserve">Bandeja para ferramentas</x:t>
  </x:si>
  <x:si>
    <x:t xml:space="preserve">Bastão de tração com espiral 32 x 700 mm</x:t>
  </x:si>
  <x:si>
    <x:t xml:space="preserve">Bastão garra 38 x 2345 mm</x:t>
  </x:si>
  <x:si>
    <x:t xml:space="preserve">Bastão garra 64 x 3510 mm</x:t>
  </x:si>
  <x:si>
    <x:t xml:space="preserve">Bastão universal 32 x 2550 mm</x:t>
  </x:si>
  <x:si>
    <x:t xml:space="preserve">Binóculo</x:t>
  </x:si>
  <x:si>
    <x:t xml:space="preserve">Bolsa de lona para proteção de luva de borracha</x:t>
  </x:si>
  <x:si>
    <x:t xml:space="preserve">Botão para manga de borracha</x:t>
  </x:si>
  <x:si>
    <x:t xml:space="preserve">Bypass,Porta Fusível;290-430MM</x:t>
  </x:si>
  <x:si>
    <x:t xml:space="preserve">Cabeçote (arpão) para operar chave fusível com terminal universal</x:t>
  </x:si>
  <x:si>
    <x:t xml:space="preserve">Cabeçote olhal sem isolador</x:t>
  </x:si>
  <x:si>
    <x:t xml:space="preserve">Cabo 35 mm² isolado para 15 kV/200 A (metros) 3 de 4m 2m 1m</x:t>
  </x:si>
  <x:si>
    <x:t xml:space="preserve">Cabo 70 mm² isolado para 15 kV/300 A (metros) 3 de 4m 1m</x:t>
  </x:si>
  <x:si>
    <x:t xml:space="preserve">Cabo 70 mm² isolado para 34,5 kV/300 A (metros) 3 de 4m 2m 1m</x:t>
  </x:si>
  <x:si>
    <x:t xml:space="preserve">Capacete com protetor facial  ETS 1086</x:t>
  </x:si>
  <x:si>
    <x:t xml:space="preserve">Canivete de 80 mm (bico chato)</x:t>
  </x:si>
  <x:si>
    <x:t xml:space="preserve">Carretilha para içar materiais</x:t>
  </x:si>
  <x:si>
    <x:t xml:space="preserve">Chave Combinada 17 mm</x:t>
  </x:si>
  <x:si>
    <x:t xml:space="preserve">Chave Combinada 19 mm</x:t>
  </x:si>
  <x:si>
    <x:t xml:space="preserve">Chave de fenda 100 x 3,5 mm, com cobertura isolada para 1kV</x:t>
  </x:si>
  <x:si>
    <x:t xml:space="preserve">Chave de fenda 150 x 6 mm, com cobertura isolada para 1kV</x:t>
  </x:si>
  <x:si>
    <x:t xml:space="preserve">Chave de fenda 150 x 8 mm, com cobertura isolada para 1kV</x:t>
  </x:si>
  <x:si>
    <x:t xml:space="preserve">Chave estrela 24 x 26 mm, com cobertura isolada para 1kV</x:t>
  </x:si>
  <x:si>
    <x:t xml:space="preserve">Chave inglesa 300 mm, com cobertura isolada para 1kV</x:t>
  </x:si>
  <x:si>
    <x:t xml:space="preserve">Cinta de poliester 2000kg linha viva</x:t>
  </x:si>
  <x:si>
    <x:t xml:space="preserve">Cinta para mão francesa – diâmetro 64mm</x:t>
  </x:si>
  <x:si>
    <x:t xml:space="preserve">Corda de fibra sintética de polipropileno torcida 10mm (metros)</x:t>
  </x:si>
  <x:si>
    <x:t xml:space="preserve">Corda de fibra sintética de polipropileno torcida 12mm (metros)</x:t>
  </x:si>
  <x:si>
    <x:t xml:space="preserve">Corda de fibra sintética de polipropileno torcida 6mm para cobertura LV (metros)</x:t>
  </x:si>
  <x:si>
    <x:t xml:space="preserve">Corda de sinalização 6mm</x:t>
  </x:si>
  <x:si>
    <x:t xml:space="preserve">Cruzeta auxiliar sem mastro 64 x 2410 mm</x:t>
  </x:si>
  <x:si>
    <x:t xml:space="preserve">Descascador de meio e ponta CABO PROTEGIDO 15 KV</x:t>
  </x:si>
  <x:si>
    <x:t xml:space="preserve">Descascador de meio e ponta CABO PROTEGIDO 35 KV</x:t>
  </x:si>
  <x:si>
    <x:t xml:space="preserve">Dispositivo de segurança anti queda do porta fusível - DAQC</x:t>
  </x:si>
  <x:si>
    <x:t xml:space="preserve">Escada extensível de madeira ou fibra de vidro 4,00 x 7,00 m ETS 1029 ou 1030</x:t>
  </x:si>
  <x:si>
    <x:t xml:space="preserve">Escova de aço em V para limpeza de cabos</x:t>
  </x:si>
  <x:si>
    <x:t xml:space="preserve">Esticador de cabo 4 a 3/0 AWG</x:t>
  </x:si>
  <x:si>
    <x:t xml:space="preserve">Esticador de cabo 4/0 a 477 </x:t>
  </x:si>
  <x:si>
    <x:t xml:space="preserve">Esticador de cordoalha de aço de 6 a 9 mm</x:t>
  </x:si>
  <x:si>
    <x:t xml:space="preserve">Estojo para matrizes, Y-35 e MD-6</x:t>
  </x:si>
  <x:si>
    <x:t xml:space="preserve">Estribo para mão francesa</x:t>
  </x:si>
  <x:si>
    <x:t xml:space="preserve">Estropo de nylon 500 mm – 455 daN</x:t>
  </x:si>
  <x:si>
    <x:t xml:space="preserve">Estropo de nylon 800mm</x:t>
  </x:si>
  <x:si>
    <x:t xml:space="preserve">Gancho para corda</x:t>
  </x:si>
  <x:si>
    <x:t xml:space="preserve">Grampo de torção para “by-pass”</x:t>
  </x:si>
  <x:si>
    <x:t xml:space="preserve">Grampo isolado para “by-pass”</x:t>
  </x:si>
  <x:si>
    <x:t xml:space="preserve">Içador isolado com cabeçote giratório</x:t>
  </x:si>
  <x:si>
    <x:t xml:space="preserve">Inflador de luvas</x:t>
  </x:si>
  <x:si>
    <x:t xml:space="preserve">Jogo com soquetes de 12 a 28 mm </x:t>
  </x:si>
  <x:si>
    <x:t xml:space="preserve">Jumper “Little Jumper” para bucha de transformador Composição do Jumper por unidade  3,5 m Cabo Protegido para 15Kv  1 Grampo para bucha de transformador  1 Grampo de Torção  1 Suporte Isolado</x:t>
  </x:si>
  <x:si>
    <x:t xml:space="preserve">Kit de ferramenta para instalação do conector tipo cunha</x:t>
  </x:si>
  <x:si>
    <x:t xml:space="preserve">Kit para salvamento/resgate em altura conforme especificação técnica COPEL - ETS 1090</x:t>
  </x:si>
  <x:si>
    <x:t xml:space="preserve">Lanterna elétrica manual</x:t>
  </x:si>
  <x:si>
    <x:t xml:space="preserve">Lanterna para capacete</x:t>
  </x:si>
  <x:si>
    <x:t xml:space="preserve">Lima mursa</x:t>
  </x:si>
  <x:si>
    <x:t xml:space="preserve">Lona de 300 x 4.000 mm</x:t>
  </x:si>
  <x:si>
    <x:t xml:space="preserve">Marreta 500g</x:t>
  </x:si>
  <x:si>
    <x:t xml:space="preserve">Matriz c. hidráulica 12 t – índice 242 (RDR) - sextavada</x:t>
  </x:si>
  <x:si>
    <x:t xml:space="preserve">Matriz c. hidráulica 12 t – índice 245A (RDU e RDR) - sextavada</x:t>
  </x:si>
  <x:si>
    <x:t xml:space="preserve">Matriz c. hidráulica 12 t – índice 248 (RDR) - sextavada</x:t>
  </x:si>
  <x:si>
    <x:t xml:space="preserve">Matriz c. hidráulica 12 t – índice 249A (RDU, RDR e Litoral) - sextavada</x:t>
  </x:si>
  <x:si>
    <x:t xml:space="preserve">Matriz c. hidráulica 12 t – índice 317 (RDU)</x:t>
  </x:si>
  <x:si>
    <x:t xml:space="preserve">Matriz c. hidráulica 12 t – índice 321A (RDU) - sextavada</x:t>
  </x:si>
  <x:si>
    <x:t xml:space="preserve">Matriz c. mecânica 4 t – índice 162 (RDU, RDR e Litoral)</x:t>
  </x:si>
  <x:si>
    <x:t xml:space="preserve">Matriz c. mecânica 4 t – índice 163 (RDU, RDR e Litoral)</x:t>
  </x:si>
  <x:si>
    <x:t xml:space="preserve">Matriz c. mecânica 4 t – índice 236 (RDU, RDR e Litoral)</x:t>
  </x:si>
  <x:si>
    <x:t xml:space="preserve">Matriz c. mecânica 4 t – índice 237 (RDU, RDR e Litoral)</x:t>
  </x:si>
  <x:si>
    <x:t xml:space="preserve">Matriz c. mecânica 4 t – índice 242 (RDU e RDR) </x:t>
  </x:si>
  <x:si>
    <x:t xml:space="preserve">Matriz c. mecânica 4 t – índice 243 (RDU, RDR e Litoral)</x:t>
  </x:si>
  <x:si>
    <x:t xml:space="preserve">Matriz c. mecânica 4 t – índice 245 (RDU e RDR)</x:t>
  </x:si>
  <x:si>
    <x:t xml:space="preserve">Moitão linha viva duplo sem corda – 400 daN - conjunto</x:t>
  </x:si>
  <x:si>
    <x:t xml:space="preserve">Moitão linha viva triplo sem corda – 1000 daN - conjunto</x:t>
  </x:si>
  <x:si>
    <x:t xml:space="preserve">Motosserra 1,5 HP</x:t>
  </x:si>
  <x:si>
    <x:t xml:space="preserve">Parafuso sela para poste duplo T</x:t>
  </x:si>
  <x:si>
    <x:t xml:space="preserve">Placa de alerta 20x30cm com descrição: “Atenção - Não opere este equipamento”</x:t>
  </x:si>
  <x:si>
    <x:t xml:space="preserve">Pregador manual de cobertura</x:t>
  </x:si>
  <x:si>
    <x:t xml:space="preserve">Presilha de suspensão sem isolador</x:t>
  </x:si>
  <x:si>
    <x:t xml:space="preserve">Protetor de lona para lençóis</x:t>
  </x:si>
  <x:si>
    <x:t xml:space="preserve">Protetor de polietileno para caçamba 50 kV</x:t>
  </x:si>
  <x:si>
    <x:t xml:space="preserve">Sacola de lona de vinyl para acondicionamento de vara de manobra</x:t>
  </x:si>
  <x:si>
    <x:t xml:space="preserve">Sacola para manga de borracha</x:t>
  </x:si>
  <x:si>
    <x:t xml:space="preserve">Sela com colar 38 mm</x:t>
  </x:si>
  <x:si>
    <x:t xml:space="preserve">Sela para amarração de corda</x:t>
  </x:si>
  <x:si>
    <x:t xml:space="preserve">Serra para galhos adaptável em vara de manobra</x:t>
  </x:si>
  <x:si>
    <x:t xml:space="preserve">Serra poda hidráulica ISOLADA PARA LINHA VIVA;longa 2000 rs</x:t>
  </x:si>
  <x:si>
    <x:t xml:space="preserve">Suporte isolado para “by-pass” </x:t>
  </x:si>
  <x:si>
    <x:t xml:space="preserve">Talha com tirante de nylon – 1000 kgf</x:t>
  </x:si>
  <x:si>
    <x:t xml:space="preserve">Talha com tirante de nylon – 2000 kgf</x:t>
  </x:si>
  <x:si>
    <x:t xml:space="preserve">Terminal para “by-pass” com cabo 35 mm²</x:t>
  </x:si>
  <x:si>
    <x:t xml:space="preserve">Terminal para “by-pass” com cabo 70 mm²</x:t>
  </x:si>
  <x:si>
    <x:t xml:space="preserve">Tesourão para corte de cabo 760mm</x:t>
  </x:si>
  <x:si>
    <x:t xml:space="preserve">Trena de 50m</x:t>
  </x:si>
  <x:si>
    <x:t xml:space="preserve">TOTAL</x:t>
  </x:si>
  <x:si>
    <x:t xml:space="preserve">UNIFORMES</x:t>
  </x:si>
  <x:si>
    <x:t xml:space="preserve">DESCRIÇÃO</x:t>
  </x:si>
  <x:si>
    <x:t xml:space="preserve">VALOR U</x:t>
  </x:si>
  <x:si>
    <x:t xml:space="preserve">VALOR T</x:t>
  </x:si>
  <x:si>
    <x:t xml:space="preserve">Calça antichama com faixa refletiva ETS 1055</x:t>
  </x:si>
  <x:si>
    <x:t xml:space="preserve">C</x:t>
  </x:si>
  <x:si>
    <x:t xml:space="preserve">Camisa antichama - manga comprida com faixa refletiva ets 1055</x:t>
  </x:si>
  <x:si>
    <x:t xml:space="preserve">Camiseta manga comprida ets 1055</x:t>
  </x:si>
  <x:si>
    <x:t xml:space="preserve">Conjunto segurança para operador de motosserra (Capacete de segurança articulado, equipado com protetor auricular tipo concha e facial de tela, e calça de segurança)</x:t>
  </x:si>
  <x:si>
    <x:t xml:space="preserve">Jaqueta Antichama ETS 1081</x:t>
  </x:si>
  <x:si>
    <x:t xml:space="preserve">Touca árabe antichama ETS 1088</x:t>
  </x:si>
  <x:si>
    <x:t xml:space="preserve">Conjunto impermeável ETS 1006</x:t>
  </x:si>
  <x:si>
    <x:t xml:space="preserve">EQUIPAMENTOS DE PROTEÇÃO INDIVIDUAL</x:t>
  </x:si>
  <x:si>
    <x:t xml:space="preserve">Capacete de aba frontal, tipo II – classe B ETS 1015</x:t>
  </x:si>
  <x:si>
    <x:t xml:space="preserve">Conjunto de Segurança para Trabalhos em Altura ETS 1019</x:t>
  </x:si>
  <x:si>
    <x:t xml:space="preserve">Conjunto de segurança para trabalho em cesto aéreo ETS 1066</x:t>
  </x:si>
  <x:si>
    <x:t xml:space="preserve">Luva de borracha – classe 4 – 36 kV (par) ETS 2015</x:t>
  </x:si>
  <x:si>
    <x:t xml:space="preserve">Luva de borracha – classe 2 – 17 kV (par) ETS 2015</x:t>
  </x:si>
  <x:si>
    <x:t xml:space="preserve">Luva de vaqueta (par) ETS 1014</x:t>
  </x:si>
  <x:si>
    <x:t xml:space="preserve">Luva de vaqueta para proteção da luva isolante (par) ETS 1014</x:t>
  </x:si>
  <x:si>
    <x:t xml:space="preserve">Manga de borracha classe 2 – 17 kV – regular ETS 1095</x:t>
  </x:si>
  <x:si>
    <x:t xml:space="preserve">Manga de borracha classe IV 36 Kv ETS 1095</x:t>
  </x:si>
  <x:si>
    <x:t xml:space="preserve">Meia bota ou coturno de couro com solado isolado (par) ETS 1020 ou 1022</x:t>
  </x:si>
  <x:si>
    <x:t xml:space="preserve">Óculos de segurança com lente escura ETS 1037</x:t>
  </x:si>
  <x:si>
    <x:t xml:space="preserve">Protetor solar – fator 30 ETS 1047</x:t>
  </x:si>
  <x:si>
    <x:t xml:space="preserve">Talco antisséptico</x:t>
  </x:si>
  <x:si>
    <x:t xml:space="preserve">EQUIPAMENTOS DE "LINHA VIVA" PARA USO COLETIVO</x:t>
  </x:si>
  <x:si>
    <x:t xml:space="preserve">Alicate Volt-Amperímetro Categoria IV</x:t>
  </x:si>
  <x:si>
    <x:t xml:space="preserve">Banqueta isolada</x:t>
  </x:si>
  <x:si>
    <x:t xml:space="preserve">Cobertura circular 100 x 900 mm - 20 kV (rígida)</x:t>
  </x:si>
  <x:si>
    <x:t xml:space="preserve">Cobertura circular 150 x 300 mm - 20 kV (rígida) </x:t>
  </x:si>
  <x:si>
    <x:t xml:space="preserve">Cobertura circular 150 x 600 mm - 20 kV (rígida)</x:t>
  </x:si>
  <x:si>
    <x:t xml:space="preserve">Cobertura para chave (borracha), classe 2 </x:t>
  </x:si>
  <x:si>
    <x:t xml:space="preserve">Cobertura para chave (borracha), classe 4</x:t>
  </x:si>
  <x:si>
    <x:t xml:space="preserve">Cobertura para condutor 20 kV (borracha) classe 2</x:t>
  </x:si>
  <x:si>
    <x:t xml:space="preserve">Cobertura para condutor 25 kV (rígida)</x:t>
  </x:si>
  <x:si>
    <x:t xml:space="preserve">Cobertura para condutor 36 kV (rígida)</x:t>
  </x:si>
  <x:si>
    <x:t xml:space="preserve">Cobertura para condutor XLPE 185 mm RDC (rígida)</x:t>
  </x:si>
  <x:si>
    <x:t xml:space="preserve">Cobertura para cruzeta com isolador pilar (rígida)</x:t>
  </x:si>
  <x:si>
    <x:t xml:space="preserve">Cobertura para cruzeta com isolador de pino (rígida)</x:t>
  </x:si>
  <x:si>
    <x:t xml:space="preserve">Cobertura para isolador pilar e polimérico 26,4 kV (rígida) </x:t>
  </x:si>
  <x:si>
    <x:t xml:space="preserve">Cobertura para poste 230 x 1200 mm – 34,5 kV (rígida)</x:t>
  </x:si>
  <x:si>
    <x:t xml:space="preserve">Cobertura para poste 230 x 1800 mm – 34,5 kV (rígida) </x:t>
  </x:si>
  <x:si>
    <x:t xml:space="preserve">Cobertura para poste 230 x 600 mm - 34,5 kV (rígida)</x:t>
  </x:si>
  <x:si>
    <x:t xml:space="preserve">Cobertura para poste 305 x 1200 mm – 34,5 kV (rígida)</x:t>
  </x:si>
  <x:si>
    <x:t xml:space="preserve">Cobertura para suporte C RDC (rígida)</x:t>
  </x:si>
  <x:si>
    <x:t xml:space="preserve">Cobertura para suporte horizontal RDC (rígida)</x:t>
  </x:si>
  <x:si>
    <x:t xml:space="preserve">Cone de 750 mm de altura por veículo ETS 1031</x:t>
  </x:si>
  <x:si>
    <x:t xml:space="preserve">Conjunto de aterramento sela</x:t>
  </x:si>
  <x:si>
    <x:t xml:space="preserve">Conjunto de aterramento temporário para rede secundária isolada (atender as especificações do equipamento definidas no MIT – 161606)</x:t>
  </x:si>
  <x:si>
    <x:t xml:space="preserve">Detector de BT por contato com luz e som ETS 1034</x:t>
  </x:si>
  <x:si>
    <x:t xml:space="preserve">Detector de MT por contato com luz e som ETS 1034</x:t>
  </x:si>
  <x:si>
    <x:t xml:space="preserve">ISOLADOR,SUPORTE;PARA CONJ. ELEVACAO LV</x:t>
  </x:si>
  <x:si>
    <x:t xml:space="preserve">Lençol isolante com entalhe 900 x 900 mm classe 2 sem velcro</x:t>
  </x:si>
  <x:si>
    <x:t xml:space="preserve">Lençol isolante para BT com bolsa de lona</x:t>
  </x:si>
  <x:si>
    <x:t xml:space="preserve">Lençol isolante sem entalhes 900 x 900 mm classe 2 sem velcro</x:t>
  </x:si>
  <x:si>
    <x:t xml:space="preserve">Lençol isolante sem entalhes 900 x 900 mm CL4</x:t>
  </x:si>
  <x:si>
    <x:t xml:space="preserve">Suspensório para manga de borracha</x:t>
  </x:si>
  <x:si>
    <x:t xml:space="preserve">Testador de Fase;16KV;LV; com Resistor para 34,5 Kv</x:t>
  </x:si>
  <x:si>
    <x:t xml:space="preserve">Vara de manobra com encaixe universal</x:t>
  </x:si>
  <x:si>
    <x:t xml:space="preserve">Vara telescópica ETS 1063</x:t>
  </x:si>
  <x:si>
    <x:t xml:space="preserve">EQUIPAMENTOS DE COMUNICAÇÃO</x:t>
  </x:si>
  <x:si>
    <x:t xml:space="preserve">Equipamento de Comunicação de voz e dados (Tablet/Smartfone), com telefone celular integrado, com carregador veicular e demais acessórios obrigatórios (ver anexo X). </x:t>
  </x:si>
  <x:si>
    <x:t xml:space="preserve">Câmera de Videomonitoramento e acessórios, conforme ANEXO XVII - VIDEOMONITORAMENTO – REQUISITOS MÍNIMOS</x:t>
  </x:si>
  <x:si>
    <x:t xml:space="preserve">VEICULOS</x:t>
  </x:si>
  <x:si>
    <x:t xml:space="preserve">DEPRECIAÇÃO</x:t>
  </x:si>
  <x:si>
    <x:t xml:space="preserve">5 anos/mensal</x:t>
  </x:si>
  <x:si>
    <x:r>
      <x:t xml:space="preserve">Caminhão médio equipado com hidroelevador de lança isolada para 46 kV, equipado com alarme de sapata e giroflex  EE 1 (Especificação: hidroelevador com lança isolada; altura de trabalho 13 m; cesta aérea com capacidade mínima de 130 kg; controle hidráulico na cesta e na base) </x:t>
    </x:r>
    <x:r>
      <x:rPr>
        <x:b/>
        <x:sz val="11"/>
        <x:color rgb="FFFF0000"/>
        <x:rFont val="Bahnschrift Condensed"/>
        <x:family val="2"/>
      </x:rPr>
      <x:t xml:space="preserve">CUSTO MENSAL E MANUTENÇÃO POR CONTA DO LOCATÁRIO</x:t>
    </x:r>
    <x:r>
      <x:rPr>
        <x:sz val="11"/>
        <x:color rgb="FFFF0000"/>
        <x:rFont val="Bahnschrift Condensed"/>
        <x:family val="2"/>
      </x:rPr>
      <x:t xml:space="preserve"> </x:t>
    </x:r>
  </x:si>
  <x:si>
    <x:r>
      <x:t xml:space="preserve">Veículo de passageiro ou de carga – menor porte (para uso na operação de chaves com Loadbuster) </x:t>
    </x:r>
    <x:r>
      <x:rPr>
        <x:b/>
        <x:sz val="11"/>
        <x:color rgb="FFFF0000"/>
        <x:rFont val="Bahnschrift Condensed"/>
        <x:family val="2"/>
      </x:rPr>
      <x:t xml:space="preserve">CUSTO MENSAL E MANUTENÇÃO POR CONTA DO LOCATÁRIO - SAVEIRO SEM ACESSÓRIOS (PORTA ESCADA E ARMÁRIO)</x:t>
    </x:r>
  </x:si>
  <x:si>
    <x:t xml:space="preserve">LONGA DURAÇÃO TOTAL</x:t>
  </x:si>
  <x:si>
    <x:t xml:space="preserve">CURTA DURAÇÃO TOTAL </x:t>
  </x:si>
  <x:si>
    <x:t xml:space="preserve">REMUNERAÇÃO E ENCARGOS TRABALHISTAS</x:t>
  </x:si>
  <x:si>
    <x:t xml:space="preserve">VALORES ATUALIZADOS DAS INFORMAÇÕES DO RODRIGO</x:t>
  </x:si>
  <x:si>
    <x:t xml:space="preserve">FUNÇÃO</x:t>
  </x:si>
  <x:si>
    <x:t xml:space="preserve">HORA 2023</x:t>
  </x:si>
  <x:si>
    <x:t xml:space="preserve">MENSAL</x:t>
  </x:si>
  <x:si>
    <x:t xml:space="preserve">MENSAL + PER</x:t>
  </x:si>
  <x:si>
    <x:t xml:space="preserve">FGTS</x:t>
  </x:si>
  <x:si>
    <x:t xml:space="preserve">INSS</x:t>
  </x:si>
  <x:si>
    <x:t xml:space="preserve">FÉRIAS</x:t>
  </x:si>
  <x:si>
    <x:t xml:space="preserve">FGTS fer</x:t>
  </x:si>
  <x:si>
    <x:t xml:space="preserve">INSS fer</x:t>
  </x:si>
  <x:si>
    <x:t xml:space="preserve">13º</x:t>
  </x:si>
  <x:si>
    <x:t xml:space="preserve">FGTS 13º</x:t>
  </x:si>
  <x:si>
    <x:t xml:space="preserve">INSS 13º</x:t>
  </x:si>
  <x:si>
    <x:t xml:space="preserve">MULTA FGTS</x:t>
  </x:si>
  <x:si>
    <x:t xml:space="preserve">Auxilio doença,nojo e gala</x:t>
  </x:si>
  <x:si>
    <x:t xml:space="preserve">Aviso prévio</x:t>
  </x:si>
  <x:si>
    <x:t xml:space="preserve">CUSTO TOTAL MENSAL</x:t>
  </x:si>
  <x:si>
    <x:t xml:space="preserve">Eletricista encarregado B  Linha Morta</x:t>
  </x:si>
  <x:si>
    <x:t xml:space="preserve">Técnico em Eletrotécnica</x:t>
  </x:si>
  <x:si>
    <x:t xml:space="preserve">Técnico de Segurança</x:t>
  </x:si>
  <x:si>
    <x:t xml:space="preserve">Auxiliar Técnico</x:t>
  </x:si>
  <x:si>
    <x:t xml:space="preserve">Eletricista oficial B de Linha Morta</x:t>
  </x:si>
  <x:si>
    <x:t xml:space="preserve">Eletricista Meio Oficial</x:t>
  </x:si>
  <x:si>
    <x:t xml:space="preserve">Motorista (operador de guindauto)</x:t>
  </x:si>
  <x:si>
    <x:t xml:space="preserve">Ajudante</x:t>
  </x:si>
  <x:si>
    <x:t xml:space="preserve">Vale Compras Mensal</x:t>
  </x:si>
  <x:si>
    <x:t xml:space="preserve">Vale Compras Férias</x:t>
  </x:si>
  <x:si>
    <x:t xml:space="preserve">Vale compras 13º</x:t>
  </x:si>
  <x:si>
    <x:t xml:space="preserve">DIA</x:t>
  </x:si>
  <x:si>
    <x:t xml:space="preserve">MÊS</x:t>
  </x:si>
  <x:si>
    <x:t xml:space="preserve">Vale Refeição</x:t>
  </x:si>
  <x:si>
    <x:t xml:space="preserve">Item</x:t>
  </x:si>
  <x:si>
    <x:t xml:space="preserve">Número</x:t>
  </x:si>
  <x:si>
    <x:t xml:space="preserve">Descrição das mercadorias</x:t>
  </x:si>
  <x:si>
    <x:t xml:space="preserve">Ref. Fab.</x:t>
  </x:si>
  <x:si>
    <x:t xml:space="preserve">NCM</x:t>
  </x:si>
  <x:si>
    <x:t xml:space="preserve">Un</x:t>
  </x:si>
  <x:si>
    <x:t xml:space="preserve">Qtde</x:t>
  </x:si>
  <x:si>
    <x:t xml:space="preserve">R$ Unit.</x:t>
  </x:si>
  <x:si>
    <x:t xml:space="preserve">R$ Total</x:t>
  </x:si>
  <x:si>
    <x:t xml:space="preserve">21892</x:t>
  </x:si>
  <x:si>
    <x:t xml:space="preserve">Alicate compressão hidráulica 12Ton com estojo sem matrizes e 32mm abertura cabeçote</x:t>
  </x:si>
  <x:si>
    <x:t xml:space="preserve">SE 17186</x:t>
  </x:si>
  <x:si>
    <x:t xml:space="preserve">82032010</x:t>
  </x:si>
  <x:si>
    <x:t xml:space="preserve">PC</x:t>
  </x:si>
  <x:si>
    <x:t xml:space="preserve">20011</x:t>
  </x:si>
  <x:si>
    <x:t xml:space="preserve">Alicate comp. mecanica 4Ton. sem estojo com matrizes fixa D3 e BG sem matrizes avulsas</x:t>
  </x:si>
  <x:si>
    <x:t xml:space="preserve">CH 6</x:t>
  </x:si>
  <x:si>
    <x:t xml:space="preserve">84626100</x:t>
  </x:si>
  <x:si>
    <x:t xml:space="preserve">20098</x:t>
  </x:si>
  <x:si>
    <x:t xml:space="preserve">Alicate bomba d'água 12'' Isolado 1000V - Tramontina Pro - Promo</x:t>
  </x:si>
  <x:si>
    <x:t xml:space="preserve">44039/112</x:t>
  </x:si>
  <x:si>
    <x:t xml:space="preserve">22594</x:t>
  </x:si>
  <x:si>
    <x:t xml:space="preserve">Alicate de corte para cabo de alum./cobre sem alma de aço até 48mm de diâmetro( 400mm2 )</x:t>
  </x:si>
  <x:si>
    <x:t xml:space="preserve">FVR 31874-1</x:t>
  </x:si>
  <x:si>
    <x:t xml:space="preserve">21950</x:t>
  </x:si>
  <x:si>
    <x:t xml:space="preserve">Alicate tipo universal ( cabo laranja ) 8" isolação 1000V - Sata</x:t>
  </x:si>
  <x:si>
    <x:t xml:space="preserve">ST700022L</x:t>
  </x:si>
  <x:si>
    <x:t xml:space="preserve">22125</x:t>
  </x:si>
  <x:si>
    <x:t xml:space="preserve">Arco de serra regulável 12" - Starfer</x:t>
  </x:si>
  <x:si>
    <x:t xml:space="preserve">1415808</x:t>
  </x:si>
  <x:si>
    <x:t xml:space="preserve">82021000</x:t>
  </x:si>
  <x:si>
    <x:t xml:space="preserve">19111</x:t>
  </x:si>
  <x:si>
    <x:t xml:space="preserve">Balde 30cmx35cm fundo sintético com alça de fita -</x:t>
  </x:si>
  <x:si>
    <x:t xml:space="preserve">em lona verde                                                               120.152.0001</x:t>
  </x:si>
  <x:si>
    <x:t xml:space="preserve">63079090</x:t>
  </x:si>
  <x:si>
    <x:t xml:space="preserve">19092</x:t>
  </x:si>
  <x:si>
    <x:t xml:space="preserve">Bandeirola de nylon KP cor laranja 30x40cm com ilhoses e bastão</x:t>
  </x:si>
  <x:si>
    <x:t xml:space="preserve">RB 6708</x:t>
  </x:si>
  <x:si>
    <x:t xml:space="preserve">20840</x:t>
  </x:si>
  <x:si>
    <x:t xml:space="preserve">Bastão de tração com espiral 32mmx0,70m com 0,29m isolante para LV</x:t>
  </x:si>
  <x:si>
    <x:t xml:space="preserve">TM 03130102</x:t>
  </x:si>
  <x:si>
    <x:t xml:space="preserve">84798999</x:t>
  </x:si>
  <x:si>
    <x:t xml:space="preserve">21789</x:t>
  </x:si>
  <x:si>
    <x:t xml:space="preserve">Bastão garra 38mmx3,40m com 2,96m isolante para LV</x:t>
  </x:si>
  <x:si>
    <x:t xml:space="preserve">140.633.0003</x:t>
  </x:si>
  <x:si>
    <x:t xml:space="preserve">85479000</x:t>
  </x:si>
  <x:si>
    <x:t xml:space="preserve">21790</x:t>
  </x:si>
  <x:si>
    <x:t xml:space="preserve">Bastão garra 64mmx3,95m com 3,51m isolante para LV</x:t>
  </x:si>
  <x:si>
    <x:t xml:space="preserve">140.633.0010</x:t>
  </x:si>
  <x:si>
    <x:t xml:space="preserve">21792</x:t>
  </x:si>
  <x:si>
    <x:t xml:space="preserve">Bastão universal 2 cabeçotes 32mm x 2,20m para LV</x:t>
  </x:si>
  <x:si>
    <x:t xml:space="preserve">140.867.0001</x:t>
  </x:si>
  <x:si>
    <x:t xml:space="preserve">10014</x:t>
  </x:si>
  <x:si>
    <x:t xml:space="preserve">Bolsa para luvas isolantes tipo dupla 48cmx20cmx16cm - em lona verde</x:t>
  </x:si>
  <x:si>
    <x:t xml:space="preserve">120.164.D000</x:t>
  </x:si>
  <x:si>
    <x:t xml:space="preserve">19307</x:t>
  </x:si>
  <x:si>
    <x:t xml:space="preserve">Botão manga isolante</x:t>
  </x:si>
  <x:si>
    <x:t xml:space="preserve">40159000</x:t>
  </x:si>
  <x:si>
    <x:t xml:space="preserve">16527</x:t>
  </x:si>
  <x:si>
    <x:t xml:space="preserve">Cabeçote para operação de chaves tipo desconector</x:t>
  </x:si>
  <x:si>
    <x:t xml:space="preserve">SE 3180</x:t>
  </x:si>
  <x:si>
    <x:t xml:space="preserve">85352900</x:t>
  </x:si>
  <x:si>
    <x:t xml:space="preserve">20292</x:t>
  </x:si>
  <x:si>
    <x:t xml:space="preserve">Cabeçote olhal ( grande ) para conexão do bastão mastro com olhal ou garra ou içador p/ LV</x:t>
  </x:si>
  <x:si>
    <x:t xml:space="preserve">FLV00714-2</x:t>
  </x:si>
  <x:si>
    <x:t xml:space="preserve">76169900</x:t>
  </x:si>
  <x:si>
    <x:t xml:space="preserve">11471</x:t>
  </x:si>
  <x:si>
    <x:t xml:space="preserve">Cabo de cobre flexível 2AWG ( 200A ) protegido cor laranja 15KV para LV</x:t>
  </x:si>
  <x:si>
    <x:t xml:space="preserve">R3641</x:t>
  </x:si>
  <x:si>
    <x:t xml:space="preserve">85446000</x:t>
  </x:si>
  <x:si>
    <x:t xml:space="preserve">MT</x:t>
  </x:si>
  <x:si>
    <x:t xml:space="preserve">10395</x:t>
  </x:si>
  <x:si>
    <x:t xml:space="preserve">Cabo de cobre flexível 2/0 ( 300A ) protegido cor laranja 15KV para LV</x:t>
  </x:si>
  <x:si>
    <x:t xml:space="preserve">R3863</x:t>
  </x:si>
  <x:si>
    <x:t xml:space="preserve">17801</x:t>
  </x:si>
  <x:si>
    <x:t xml:space="preserve">Cabo de cobre flexível 2/0 ( 300A ) protegido cor laranja 35KV para LV</x:t>
  </x:si>
  <x:si>
    <x:t xml:space="preserve">FLV 30182-2</x:t>
  </x:si>
  <x:si>
    <x:t xml:space="preserve">19316</x:t>
  </x:si>
  <x:si>
    <x:t xml:space="preserve">Kit protetor facial p/arco elétrico ATPV 18,4cal/cm2 com capacete cor branco - CA 46765</x:t>
  </x:si>
  <x:si>
    <x:t xml:space="preserve">158 ARC</x:t>
  </x:si>
  <x:si>
    <x:t xml:space="preserve">65061090</x:t>
  </x:si>
  <x:si>
    <x:t xml:space="preserve">12520</x:t>
  </x:si>
  <x:si>
    <x:t xml:space="preserve">Bolsa para protetor facial e lanterna para cabeça 42cmx30cmx22cm - em lona verde</x:t>
  </x:si>
  <x:si>
    <x:t xml:space="preserve">120.137.A000</x:t>
  </x:si>
  <x:si>
    <x:t xml:space="preserve">20509</x:t>
  </x:si>
  <x:si>
    <x:t xml:space="preserve">Canivete tipo eletricista em aço inox 3" sem estojo</x:t>
  </x:si>
  <x:si>
    <x:t xml:space="preserve">26301/003</x:t>
  </x:si>
  <x:si>
    <x:t xml:space="preserve">82119320</x:t>
  </x:si>
  <x:si>
    <x:t xml:space="preserve">22009</x:t>
  </x:si>
  <x:si>
    <x:t xml:space="preserve">Carretilha em aluminio p/ içar ferramentas com trava</x:t>
  </x:si>
  <x:si>
    <x:t xml:space="preserve">TOP - 044 / 232</x:t>
  </x:si>
  <x:si>
    <x:t xml:space="preserve">84251910</x:t>
  </x:si>
  <x:si>
    <x:t xml:space="preserve">22081</x:t>
  </x:si>
  <x:si>
    <x:t xml:space="preserve">Chave catraca estrela isolado 1000V 17mm - com teste atual</x:t>
  </x:si>
  <x:si>
    <x:t xml:space="preserve">ISOLADA 17</x:t>
  </x:si>
  <x:si>
    <x:t xml:space="preserve">85359090</x:t>
  </x:si>
  <x:si>
    <x:t xml:space="preserve">22082</x:t>
  </x:si>
  <x:si>
    <x:t xml:space="preserve">Chave catraca estrela isolado 1000V 19mm - com teste atual</x:t>
  </x:si>
  <x:si>
    <x:t xml:space="preserve">ISOLADA 19</x:t>
  </x:si>
  <x:si>
    <x:t xml:space="preserve">82054000</x:t>
  </x:si>
  <x:si>
    <x:t xml:space="preserve">20495</x:t>
  </x:si>
  <x:si>
    <x:t xml:space="preserve">Chave fenda cabo e haste isolada 1000V - 3/16x4 (5x100) Media - Tramontina PRO</x:t>
  </x:si>
  <x:si>
    <x:t xml:space="preserve">44115/021</x:t>
  </x:si>
  <x:si>
    <x:t xml:space="preserve">20486</x:t>
  </x:si>
  <x:si>
    <x:t xml:space="preserve">Chave fenda cabo e haste isolada 1000V - 1/4x6 (6x150) Grande - Tramontina PRO</x:t>
  </x:si>
  <x:si>
    <x:t xml:space="preserve">44115/032</x:t>
  </x:si>
  <x:si>
    <x:t xml:space="preserve">20496</x:t>
  </x:si>
  <x:si>
    <x:t xml:space="preserve">Chave fenda cabo e haste isolada 1000V - 5/16x8 (8x200) Extra Grande - Tramontina PRO</x:t>
  </x:si>
  <x:si>
    <x:t xml:space="preserve">44115/043</x:t>
  </x:si>
  <x:si>
    <x:t xml:space="preserve">22066</x:t>
  </x:si>
  <x:si>
    <x:t xml:space="preserve">Chave ajustável isolada 1000V tamanho 12" em aço CR-V com limitador e teste atual</x:t>
  </x:si>
  <x:si>
    <x:t xml:space="preserve">TOP 110-12</x:t>
  </x:si>
  <x:si>
    <x:t xml:space="preserve">82041200</x:t>
  </x:si>
  <x:si>
    <x:t xml:space="preserve">21360</x:t>
  </x:si>
  <x:si>
    <x:t xml:space="preserve">Cinta de poliéster eslinga anel tubular capa tripla cor verde 2.000 Kg - Vertical comp. 1,40m</x:t>
  </x:si>
  <x:si>
    <x:t xml:space="preserve">NTC 890027</x:t>
  </x:si>
  <x:si>
    <x:t xml:space="preserve">20320</x:t>
  </x:si>
  <x:si>
    <x:t xml:space="preserve">Cinta para mão francesa 64mm para LV</x:t>
  </x:si>
  <x:si>
    <x:t xml:space="preserve">C 286</x:t>
  </x:si>
  <x:si>
    <x:t xml:space="preserve">22561</x:t>
  </x:si>
  <x:si>
    <x:t xml:space="preserve">Corda Torcida PP - Polipropileno 12mm branca rolo com 50mt</x:t>
  </x:si>
  <x:si>
    <x:t xml:space="preserve">1301-5</x:t>
  </x:si>
  <x:si>
    <x:t xml:space="preserve">56074900</x:t>
  </x:si>
  <x:si>
    <x:t xml:space="preserve">RL</x:t>
  </x:si>
  <x:si>
    <x:t xml:space="preserve">22567</x:t>
  </x:si>
  <x:si>
    <x:t xml:space="preserve">Corda Torcida PP - Polipropileno 6mm branca</x:t>
  </x:si>
  <x:si>
    <x:t xml:space="preserve">360-3</x:t>
  </x:si>
  <x:si>
    <x:t xml:space="preserve">20881</x:t>
  </x:si>
  <x:si>
    <x:t xml:space="preserve">Bastão cruzeta 64mm x 2,39m para LV</x:t>
  </x:si>
  <x:si>
    <x:t xml:space="preserve">FLV21310-2</x:t>
  </x:si>
  <x:si>
    <x:t xml:space="preserve">82055900</x:t>
  </x:si>
  <x:si>
    <x:t xml:space="preserve">16015</x:t>
  </x:si>
  <x:si>
    <x:t xml:space="preserve">Cabeçote anti-queda de cartucho com encaixe universal - DAQC</x:t>
  </x:si>
  <x:si>
    <x:t xml:space="preserve">SE 2369</x:t>
  </x:si>
  <x:si>
    <x:t xml:space="preserve">22026</x:t>
  </x:si>
  <x:si>
    <x:t xml:space="preserve">Escova de aço em V cabo de alumínio isolado</x:t>
  </x:si>
  <x:si>
    <x:t xml:space="preserve">TOP - 078 Isola</x:t>
  </x:si>
  <x:si>
    <x:t xml:space="preserve">96035000</x:t>
  </x:si>
  <x:si>
    <x:t xml:space="preserve">21432</x:t>
  </x:si>
  <x:si>
    <x:t xml:space="preserve">Esticador para cabo de alumínio 5,88mm até 11,35mm para LV - PADRÃO COPEL</x:t>
  </x:si>
  <x:si>
    <x:t xml:space="preserve">C 50-1BLV COPEL</x:t>
  </x:si>
  <x:si>
    <x:t xml:space="preserve">84269900</x:t>
  </x:si>
  <x:si>
    <x:t xml:space="preserve">21449</x:t>
  </x:si>
  <x:si>
    <x:t xml:space="preserve">Esticador para cabo de alumínio 10,5mm até 18,29 mm para LV - PADRÃO COPEL</x:t>
  </x:si>
  <x:si>
    <x:t xml:space="preserve">C 50-3BLV COPEL</x:t>
  </x:si>
  <x:si>
    <x:t xml:space="preserve">20000</x:t>
  </x:si>
  <x:si>
    <x:t xml:space="preserve">Esticador meia lua para cabo de aço 3,18mm até 12,70mm</x:t>
  </x:si>
  <x:si>
    <x:t xml:space="preserve">C 47</x:t>
  </x:si>
  <x:si>
    <x:t xml:space="preserve">20588</x:t>
  </x:si>
  <x:si>
    <x:t xml:space="preserve">Estribo para mão francesa para</x:t>
  </x:si>
  <x:si>
    <x:t xml:space="preserve">LV                                                                                              C 287</x:t>
  </x:si>
  <x:si>
    <x:t xml:space="preserve">22534</x:t>
  </x:si>
  <x:si>
    <x:t xml:space="preserve">Estropo de nylon 50mmx800mm - 670 Dan</x:t>
  </x:si>
  <x:si>
    <x:t xml:space="preserve">SE 7720-3</x:t>
  </x:si>
  <x:si>
    <x:t xml:space="preserve">56090090</x:t>
  </x:si>
  <x:si>
    <x:t xml:space="preserve">22532</x:t>
  </x:si>
  <x:si>
    <x:t xml:space="preserve">Estropo de nylon 50mmx500mm - 670 Dan</x:t>
  </x:si>
  <x:si>
    <x:t xml:space="preserve">SE 7720-2</x:t>
  </x:si>
  <x:si>
    <x:t xml:space="preserve">22011</x:t>
  </x:si>
  <x:si>
    <x:t xml:space="preserve">Gancho em aço para içamento</x:t>
  </x:si>
  <x:si>
    <x:t xml:space="preserve">TOP - 061</x:t>
  </x:si>
  <x:si>
    <x:t xml:space="preserve">10048</x:t>
  </x:si>
  <x:si>
    <x:t xml:space="preserve">Grampo de torção e mola para by-pass em LV</x:t>
  </x:si>
  <x:si>
    <x:t xml:space="preserve">C 792</x:t>
  </x:si>
  <x:si>
    <x:t xml:space="preserve">18990</x:t>
  </x:si>
  <x:si>
    <x:t xml:space="preserve">Grampo isolado 35kv cor transparente para by-pass em LV</x:t>
  </x:si>
  <x:si>
    <x:t xml:space="preserve">SE 11873</x:t>
  </x:si>
  <x:si>
    <x:t xml:space="preserve">20291</x:t>
  </x:si>
  <x:si>
    <x:t xml:space="preserve">Mastro para içamento de carga 64mm x 1,83m completo para LV</x:t>
  </x:si>
  <x:si>
    <x:t xml:space="preserve">RC400-0578</x:t>
  </x:si>
  <x:si>
    <x:t xml:space="preserve">13273</x:t>
  </x:si>
  <x:si>
    <x:t xml:space="preserve">Inflador de luvas modelo leve para LV</x:t>
  </x:si>
  <x:si>
    <x:t xml:space="preserve">SE 3135</x:t>
  </x:si>
  <x:si>
    <x:t xml:space="preserve">84142000</x:t>
  </x:si>
  <x:si>
    <x:t xml:space="preserve">21479</x:t>
  </x:si>
  <x:si>
    <x:t xml:space="preserve">Jampe temporário para bucha de transformador cabo isolado 15Kv</x:t>
  </x:si>
  <x:si>
    <x:t xml:space="preserve">2AWG ( 200A )                                                   SE 28559-2</x:t>
  </x:si>
  <x:si>
    <x:t xml:space="preserve">21437</x:t>
  </x:si>
  <x:si>
    <x:t xml:space="preserve">Ferramenta para conector cunha tipo pequena ( 1 cabeçote )</x:t>
  </x:si>
  <x:si>
    <x:t xml:space="preserve">SE 2574</x:t>
  </x:si>
  <x:si>
    <x:t xml:space="preserve">19243</x:t>
  </x:si>
  <x:si>
    <x:t xml:space="preserve">Kit resgate conforme ETS 1090 - Copel</x:t>
  </x:si>
  <x:si>
    <x:t xml:space="preserve">KITEPICOPEL</x:t>
  </x:si>
  <x:si>
    <x:t xml:space="preserve">63072000</x:t>
  </x:si>
  <x:si>
    <x:t xml:space="preserve">22257</x:t>
  </x:si>
  <x:si>
    <x:t xml:space="preserve">Lanterna recarregável cor preta/verde com 1 LED de 7W de alta potência</x:t>
  </x:si>
  <x:si>
    <x:t xml:space="preserve">SH 8497</x:t>
  </x:si>
  <x:si>
    <x:t xml:space="preserve">85131010</x:t>
  </x:si>
  <x:si>
    <x:t xml:space="preserve">22476</x:t>
  </x:si>
  <x:si>
    <x:t xml:space="preserve">Lanterna de cabeça 1 led 12W recarregável</x:t>
  </x:si>
  <x:si>
    <x:t xml:space="preserve">LTD 712</x:t>
  </x:si>
  <x:si>
    <x:t xml:space="preserve">21470</x:t>
  </x:si>
  <x:si>
    <x:t xml:space="preserve">Lima chata para enxada tipo murça com cabo 8" -</x:t>
  </x:si>
  <x:si>
    <x:t xml:space="preserve">Nicholson                                                                      08990BC</x:t>
  </x:si>
  <x:si>
    <x:t xml:space="preserve">82031010</x:t>
  </x:si>
  <x:si>
    <x:t xml:space="preserve">22535</x:t>
  </x:si>
  <x:si>
    <x:t xml:space="preserve">Lona vinílica ( PVC 400 micras ) dupla face cor laranja/preto 3m x 4m</x:t>
  </x:si>
  <x:si>
    <x:t xml:space="preserve">3x4</x:t>
  </x:si>
  <x:si>
    <x:t xml:space="preserve">63069000</x:t>
  </x:si>
  <x:si>
    <x:t xml:space="preserve">20258</x:t>
  </x:si>
  <x:si>
    <x:t xml:space="preserve">Marreta oitavada cabo madeira 500g</x:t>
  </x:si>
  <x:si>
    <x:t xml:space="preserve">40508/001</x:t>
  </x:si>
  <x:si>
    <x:t xml:space="preserve">82052000</x:t>
  </x:si>
  <x:si>
    <x:t xml:space="preserve">20956</x:t>
  </x:si>
  <x:si>
    <x:t xml:space="preserve">Matriz sextavada para alicate hidraulico uso RDC e RSI 70mm2</x:t>
  </x:si>
  <x:si>
    <x:t xml:space="preserve">IND. 245A HEX.</x:t>
  </x:si>
  <x:si>
    <x:t xml:space="preserve">JG</x:t>
  </x:si>
  <x:si>
    <x:t xml:space="preserve">20957</x:t>
  </x:si>
  <x:si>
    <x:t xml:space="preserve">Matriz sextavada para alicate hidráulico uso RDC e RSI 120mm2</x:t>
  </x:si>
  <x:si>
    <x:t xml:space="preserve">IND. 249A HEX.</x:t>
  </x:si>
  <x:si>
    <x:t xml:space="preserve">21443</x:t>
  </x:si>
  <x:si>
    <x:t xml:space="preserve">Matriz para alicate compressão hidraulico luva AL 477MCM</x:t>
  </x:si>
  <x:si>
    <x:t xml:space="preserve">IND. 317</x:t>
  </x:si>
  <x:si>
    <x:t xml:space="preserve">20954</x:t>
  </x:si>
  <x:si>
    <x:t xml:space="preserve">Matriz sextavada para alicate hidráulico uso RDC e RSI 185mm2</x:t>
  </x:si>
  <x:si>
    <x:t xml:space="preserve">IND. 321A HEX</x:t>
  </x:si>
  <x:si>
    <x:t xml:space="preserve">21124</x:t>
  </x:si>
  <x:si>
    <x:t xml:space="preserve">Matriz para alicate compressão hidraulico luva AL 4AWG CA e luva Cu 25mm2</x:t>
  </x:si>
  <x:si>
    <x:t xml:space="preserve">IND. 162</x:t>
  </x:si>
  <x:si>
    <x:t xml:space="preserve">21125</x:t>
  </x:si>
  <x:si>
    <x:t xml:space="preserve">Matriz para alicate compressão hidraulico luva AL 2AWG CA e luva Cu 35mm2</x:t>
  </x:si>
  <x:si>
    <x:t xml:space="preserve">IND. 163</x:t>
  </x:si>
  <x:si>
    <x:t xml:space="preserve">21448</x:t>
  </x:si>
  <x:si>
    <x:t xml:space="preserve">Matriz para alicate compressão hidraulico luva AL AWG CAA - interna</x:t>
  </x:si>
  <x:si>
    <x:t xml:space="preserve">HID. 236</x:t>
  </x:si>
  <x:si>
    <x:t xml:space="preserve">21447</x:t>
  </x:si>
  <x:si>
    <x:t xml:space="preserve">Matriz para alicate compressão hidraulico luva AL 4AWG CAA - externa</x:t>
  </x:si>
  <x:si>
    <x:t xml:space="preserve">HID. 237</x:t>
  </x:si>
  <x:si>
    <x:t xml:space="preserve">21129</x:t>
  </x:si>
  <x:si>
    <x:t xml:space="preserve">Matriz para alicate compressão hidraulico luva AL 1/0 CAA interno e 2/0 CAA interno</x:t>
  </x:si>
  <x:si>
    <x:t xml:space="preserve">IND. 242</x:t>
  </x:si>
  <x:si>
    <x:t xml:space="preserve">21130</x:t>
  </x:si>
  <x:si>
    <x:t xml:space="preserve">Matriz para alicate compressão hidraulico luva AL 1/0 CA e 1/0 CAA externa</x:t>
  </x:si>
  <x:si>
    <x:t xml:space="preserve">IND. 243</x:t>
  </x:si>
  <x:si>
    <x:t xml:space="preserve">21131</x:t>
  </x:si>
  <x:si>
    <x:t xml:space="preserve">Matriz para alicate compressão hidraulico luva AL 2/0 CA e 2/0 CAA - externa</x:t>
  </x:si>
  <x:si>
    <x:t xml:space="preserve">IND. 245</x:t>
  </x:si>
  <x:si>
    <x:t xml:space="preserve">21318</x:t>
  </x:si>
  <x:si>
    <x:t xml:space="preserve">Moitão duplo leve de plástico uso até 400daN com 15m corda</x:t>
  </x:si>
  <x:si>
    <x:t xml:space="preserve">para LV                                                             FLV07777-1</x:t>
  </x:si>
  <x:si>
    <x:t xml:space="preserve">22407</x:t>
  </x:si>
  <x:si>
    <x:t xml:space="preserve">Moitão triplo de termoplástico cor preto uso até 1589daN com 45m corda</x:t>
  </x:si>
  <x:si>
    <x:t xml:space="preserve">para LV                                                 SE 511-1026</x:t>
  </x:si>
  <x:si>
    <x:t xml:space="preserve">21917</x:t>
  </x:si>
  <x:si>
    <x:t xml:space="preserve">Parafuso sela com colar 64mm uso em poste DT para LV</x:t>
  </x:si>
  <x:si>
    <x:t xml:space="preserve">SE 13609</x:t>
  </x:si>
  <x:si>
    <x:t xml:space="preserve">19240</x:t>
  </x:si>
  <x:si>
    <x:t xml:space="preserve">Placa de sinalização em PVC cor AMARELA c/ilhoses - ATENÇÃO - NÃO OPERE ESTE EQUIPAMENTO - 33cx25cm</x:t>
  </x:si>
  <x:si>
    <x:t xml:space="preserve">ATENÇÃO - AMARE</x:t>
  </x:si>
  <x:si>
    <x:t xml:space="preserve">39199090</x:t>
  </x:si>
  <x:si>
    <x:t xml:space="preserve">15003</x:t>
  </x:si>
  <x:si>
    <x:t xml:space="preserve">Pregador para lençois isolantes com 240mm para LV</x:t>
  </x:si>
  <x:si>
    <x:t xml:space="preserve">FLV 16886-1</x:t>
  </x:si>
  <x:si>
    <x:t xml:space="preserve">20188</x:t>
  </x:si>
  <x:si>
    <x:t xml:space="preserve">Presilha de elevação 1'' sem isolador para</x:t>
  </x:si>
  <x:si>
    <x:t xml:space="preserve">LV                                                                                  C 291</x:t>
  </x:si>
  <x:si>
    <x:t xml:space="preserve">19791</x:t>
  </x:si>
  <x:si>
    <x:t xml:space="preserve">Bolsa para manga isolante 70cmx30cmx5cm em lona verde</x:t>
  </x:si>
  <x:si>
    <x:t xml:space="preserve">131.0000</x:t>
  </x:si>
  <x:si>
    <x:t xml:space="preserve">20336</x:t>
  </x:si>
  <x:si>
    <x:t xml:space="preserve">Sela para poste com extensor-colar 38mm para</x:t>
  </x:si>
  <x:si>
    <x:t xml:space="preserve">LV                                                                                C 273</x:t>
  </x:si>
  <x:si>
    <x:t xml:space="preserve">20181</x:t>
  </x:si>
  <x:si>
    <x:t xml:space="preserve">Sela para amarração de corda para LV</x:t>
  </x:si>
  <x:si>
    <x:t xml:space="preserve">C 285</x:t>
  </x:si>
  <x:si>
    <x:t xml:space="preserve">21330</x:t>
  </x:si>
  <x:si>
    <x:t xml:space="preserve">Lâmina para serrote de poda com gancho 14" - sem adaptador</x:t>
  </x:si>
  <x:si>
    <x:t xml:space="preserve">78399/019</x:t>
  </x:si>
  <x:si>
    <x:t xml:space="preserve">82119400</x:t>
  </x:si>
  <x:si>
    <x:t xml:space="preserve">22238</x:t>
  </x:si>
  <x:si>
    <x:t xml:space="preserve">Adaptador em aço com parafusos para lâmina de poda ref 21330</x:t>
  </x:si>
  <x:si>
    <x:t xml:space="preserve">Serra</x:t>
  </x:si>
  <x:si>
    <x:t xml:space="preserve">73259990</x:t>
  </x:si>
  <x:si>
    <x:t xml:space="preserve">21482</x:t>
  </x:si>
  <x:si>
    <x:t xml:space="preserve">Suporte isolado para by pass 34,5kV para LV</x:t>
  </x:si>
  <x:si>
    <x:t xml:space="preserve">SE 2711-8</x:t>
  </x:si>
  <x:si>
    <x:t xml:space="preserve">20279</x:t>
  </x:si>
  <x:si>
    <x:t xml:space="preserve">Talha reforçada com tirante de nylon para 1000Kg para LV</x:t>
  </x:si>
  <x:si>
    <x:t xml:space="preserve">RC 309-0323</x:t>
  </x:si>
  <x:si>
    <x:t xml:space="preserve">20280</x:t>
  </x:si>
  <x:si>
    <x:t xml:space="preserve">Talha reforçada com tirante de nylon para 2000Kg para LV</x:t>
  </x:si>
  <x:si>
    <x:t xml:space="preserve">RC312-0000</x:t>
  </x:si>
  <x:si>
    <x:t xml:space="preserve">21489</x:t>
  </x:si>
  <x:si>
    <x:t xml:space="preserve">Terminal de cobre para grampo isolado e cabo 2 AWG ( 35 mm2 ) isolado para LV</x:t>
  </x:si>
  <x:si>
    <x:t xml:space="preserve">SE 711-3609</x:t>
  </x:si>
  <x:si>
    <x:t xml:space="preserve">21630</x:t>
  </x:si>
  <x:si>
    <x:t xml:space="preserve">Terminal de cobre para grampo isolado e cabo 2/0 AWG ( 70 mm2 ) isolado para LV</x:t>
  </x:si>
  <x:si>
    <x:t xml:space="preserve">SE 711-3711</x:t>
  </x:si>
  <x:si>
    <x:t xml:space="preserve">22515</x:t>
  </x:si>
  <x:si>
    <x:t xml:space="preserve">Tesourão isolado 38mm e 0,84 m comp. para cabo até 556MCM ACSR 23,5mm diâmetro</x:t>
  </x:si>
  <x:si>
    <x:t xml:space="preserve">FLV 19245-1</x:t>
  </x:si>
  <x:si>
    <x:t xml:space="preserve">82034000</x:t>
  </x:si>
  <x:si>
    <x:t xml:space="preserve">20570</x:t>
  </x:si>
  <x:si>
    <x:t xml:space="preserve">Trena de fibra longa tipo aberta com 50m - Starfer</x:t>
  </x:si>
  <x:si>
    <x:t xml:space="preserve">14162828</x:t>
  </x:si>
  <x:si>
    <x:t xml:space="preserve">90178010</x:t>
  </x:si>
  <x:si>
    <x:t xml:space="preserve">17925</x:t>
  </x:si>
  <x:si>
    <x:t xml:space="preserve">Capacete motosserrista classe B c/ protetor tela de 6" e protetor auditivo 22dB - CA 12354</x:t>
  </x:si>
  <x:si>
    <x:t xml:space="preserve">CA 51417                            17749</x:t>
  </x:si>
  <x:si>
    <x:t xml:space="preserve">17917</x:t>
  </x:si>
  <x:si>
    <x:t xml:space="preserve">Calça para motosserrista modelo 360° meio elástico cor azul Tam. G - CA 36175</x:t>
  </x:si>
  <x:si>
    <x:t xml:space="preserve">300432</x:t>
  </x:si>
  <x:si>
    <x:t xml:space="preserve">62034300</x:t>
  </x:si>
  <x:si>
    <x:t xml:space="preserve">19875</x:t>
  </x:si>
  <x:si>
    <x:t xml:space="preserve">Balaclava em malha 100% algodão risco II cor cinza tipo duplo ocular ( COPEL ) - CA 42429</x:t>
  </x:si>
  <x:si>
    <x:t xml:space="preserve">Similar ETC2.02</x:t>
  </x:si>
  <x:si>
    <x:t xml:space="preserve">62171000</x:t>
  </x:si>
  <x:si>
    <x:t xml:space="preserve">10884</x:t>
  </x:si>
  <x:si>
    <x:t xml:space="preserve">Conjunto para chuva ventilado nylon amarelo com refletivo 5cm Tam. G - CA 42186 / CA 42187</x:t>
  </x:si>
  <x:si>
    <x:t xml:space="preserve">670FT1030</x:t>
  </x:si>
  <x:si>
    <x:t xml:space="preserve">62104000</x:t>
  </x:si>
  <x:si>
    <x:t xml:space="preserve">CJ</x:t>
  </x:si>
  <x:si>
    <x:t xml:space="preserve">11965</x:t>
  </x:si>
  <x:si>
    <x:t xml:space="preserve">Capacete seg. aba frontal classe E com suspensão e jugular cor cinza - CA 498</x:t>
  </x:si>
  <x:si>
    <x:t xml:space="preserve">311863</x:t>
  </x:si>
  <x:si>
    <x:t xml:space="preserve">19244</x:t>
  </x:si>
  <x:si>
    <x:t xml:space="preserve">Cinturão paraquedista dielétrico FR tipo Y - modelo VOLTAGE - Tam 1 - CA 48751</x:t>
  </x:si>
  <x:si>
    <x:t xml:space="preserve">USC00290DE01</x:t>
  </x:si>
  <x:si>
    <x:t xml:space="preserve">19246</x:t>
  </x:si>
  <x:si>
    <x:t xml:space="preserve">Talabarte para posicionamento corda com 2m e protetor de corda - Giro Cord - padrão Copel</x:t>
  </x:si>
  <x:si>
    <x:t xml:space="preserve">KIT-TALAB-CEB-0</x:t>
  </x:si>
  <x:si>
    <x:t xml:space="preserve">19247</x:t>
  </x:si>
  <x:si>
    <x:t xml:space="preserve">Trava quedas com extensor e mosquetão oval - BRAKE COMPACT</x:t>
  </x:si>
  <x:si>
    <x:t xml:space="preserve">UST00141E000</x:t>
  </x:si>
  <x:si>
    <x:t xml:space="preserve">84799090</x:t>
  </x:si>
  <x:si>
    <x:t xml:space="preserve">19314</x:t>
  </x:si>
  <x:si>
    <x:t xml:space="preserve">Cinturão paraquedista dielétrico para NR33 Tam 1 - CA 45399</x:t>
  </x:si>
  <x:si>
    <x:t xml:space="preserve">POTENZA PLUS EL</x:t>
  </x:si>
  <x:si>
    <x:t xml:space="preserve">19374</x:t>
  </x:si>
  <x:si>
    <x:t xml:space="preserve">Talabarte tipo I retardante a chama com absorvedor e conector dielétrico gancho - SDE CHOCKER 17DE</x:t>
  </x:si>
  <x:si>
    <x:t xml:space="preserve">USL0019CH150-17</x:t>
  </x:si>
  <x:si>
    <x:t xml:space="preserve">19192</x:t>
  </x:si>
  <x:si>
    <x:t xml:space="preserve">Luva isolante halogenada classe 4 - 40.000V Tam. 10'' - CA 38592</x:t>
  </x:si>
  <x:si>
    <x:t xml:space="preserve">CL 4</x:t>
  </x:si>
  <x:si>
    <x:t xml:space="preserve">40151900</x:t>
  </x:si>
  <x:si>
    <x:t xml:space="preserve">PR</x:t>
  </x:si>
  <x:si>
    <x:t xml:space="preserve">19180</x:t>
  </x:si>
  <x:si>
    <x:t xml:space="preserve">Luva isolante halogenada classe 2 - 20.000V</x:t>
  </x:si>
  <x:si>
    <x:t xml:space="preserve">Tam. 10'' - CA 35862                                                               CL 2</x:t>
  </x:si>
  <x:si>
    <x:t xml:space="preserve">11050</x:t>
  </x:si>
  <x:si>
    <x:t xml:space="preserve">Luva de vaqueta com reforço na palma Tam. G - CA 3983</x:t>
  </x:si>
  <x:si>
    <x:t xml:space="preserve">LV2161G</x:t>
  </x:si>
  <x:si>
    <x:t xml:space="preserve">42032900</x:t>
  </x:si>
  <x:si>
    <x:t xml:space="preserve">18222</x:t>
  </x:si>
  <x:si>
    <x:t xml:space="preserve">Luva de cobertura punho 15cm com presilha plástica Tam. 11" - CA 29011 / 29012</x:t>
  </x:si>
  <x:si>
    <x:t xml:space="preserve">LV04-15-11-COB</x:t>
  </x:si>
  <x:si>
    <x:t xml:space="preserve">19081</x:t>
  </x:si>
  <x:si>
    <x:t xml:space="preserve">Kit manga isolante classe 2 Tam Único - CA 41770</x:t>
  </x:si>
  <x:si>
    <x:t xml:space="preserve">CL 2</x:t>
  </x:si>
  <x:si>
    <x:t xml:space="preserve">KI</x:t>
  </x:si>
  <x:si>
    <x:t xml:space="preserve">15442</x:t>
  </x:si>
  <x:si>
    <x:t xml:space="preserve">Kit de manga isolante 40KV cor laranja Tam. M - CA 35724</x:t>
  </x:si>
  <x:si>
    <x:t xml:space="preserve">500.004.001.02</x:t>
  </x:si>
  <x:si>
    <x:t xml:space="preserve">19128</x:t>
  </x:si>
  <x:si>
    <x:t xml:space="preserve">Botina c/cadarço lingueta fole bico PVC alma plástica p/eletricista bidensidade PU Tam. 40 - CA 9921</x:t>
  </x:si>
  <x:si>
    <x:t xml:space="preserve">BE51-ASA6003268</x:t>
  </x:si>
  <x:si>
    <x:t xml:space="preserve">64039190</x:t>
  </x:si>
  <x:si>
    <x:t xml:space="preserve">10289</x:t>
  </x:si>
  <x:si>
    <x:t xml:space="preserve">Óculos de segurança Starlight cinza com antiembaçante - CA 13077</x:t>
  </x:si>
  <x:si>
    <x:t xml:space="preserve">ET 86/FS</x:t>
  </x:si>
  <x:si>
    <x:t xml:space="preserve">90049020</x:t>
  </x:si>
  <x:si>
    <x:t xml:space="preserve">13067</x:t>
  </x:si>
  <x:si>
    <x:t xml:space="preserve">Protetor solar FPS 30 / FP-UVA 11 com repelente 120gr</x:t>
  </x:si>
  <x:si>
    <x:t xml:space="preserve">FPS30 REPELENTE</x:t>
  </x:si>
  <x:si>
    <x:t xml:space="preserve">33049990</x:t>
  </x:si>
  <x:si>
    <x:t xml:space="preserve">10351</x:t>
  </x:si>
  <x:si>
    <x:t xml:space="preserve">Talco farmaceutico para uso diversos - saco 1 Kg</x:t>
  </x:si>
  <x:si>
    <x:t xml:space="preserve">PREMIUM</x:t>
  </x:si>
  <x:si>
    <x:t xml:space="preserve">25262000</x:t>
  </x:si>
  <x:si>
    <x:t xml:space="preserve">KG</x:t>
  </x:si>
  <x:si>
    <x:t xml:space="preserve">17923</x:t>
  </x:si>
  <x:si>
    <x:t xml:space="preserve">Perneira de segurança em material sintético com talas de PVC e velcro - CA 14750</x:t>
  </x:si>
  <x:si>
    <x:t xml:space="preserve">250495</x:t>
  </x:si>
  <x:si>
    <x:t xml:space="preserve">64069090</x:t>
  </x:si>
  <x:si>
    <x:t xml:space="preserve">PA</x:t>
  </x:si>
  <x:si>
    <x:t xml:space="preserve">30750</x:t>
  </x:si>
  <x:si>
    <x:t xml:space="preserve">Alicate amperimetro Cat.IV 600V 1000A AC True RMS AC/DC</x:t>
  </x:si>
  <x:si>
    <x:t xml:space="preserve">e função NCV sonora e visual                                           ET 3811 (NOVO)</x:t>
  </x:si>
  <x:si>
    <x:t xml:space="preserve">90303100</x:t>
  </x:si>
  <x:si>
    <x:t xml:space="preserve">16441</x:t>
  </x:si>
  <x:si>
    <x:t xml:space="preserve">Banqueta isolada 40KV para LV</x:t>
  </x:si>
  <x:si>
    <x:t xml:space="preserve">SE 3412</x:t>
  </x:si>
  <x:si>
    <x:t xml:space="preserve">39269090</x:t>
  </x:si>
  <x:si>
    <x:t xml:space="preserve">16937</x:t>
  </x:si>
  <x:si>
    <x:t xml:space="preserve">Cobertura rígida circular 100x900mm 26,4KV para LV</x:t>
  </x:si>
  <x:si>
    <x:t xml:space="preserve">ROT 22287-4/400</x:t>
  </x:si>
  <x:si>
    <x:t xml:space="preserve">85472090</x:t>
  </x:si>
  <x:si>
    <x:t xml:space="preserve">10297</x:t>
  </x:si>
  <x:si>
    <x:t xml:space="preserve">Cobertura rígida circular 150x300mm 26,4KV para LV</x:t>
  </x:si>
  <x:si>
    <x:t xml:space="preserve">COB04487-1</x:t>
  </x:si>
  <x:si>
    <x:t xml:space="preserve">13242</x:t>
  </x:si>
  <x:si>
    <x:t xml:space="preserve">Cobertura rígida circular 150x600mm 26,4KV para LV</x:t>
  </x:si>
  <x:si>
    <x:t xml:space="preserve">ROT 15598-3/400</x:t>
  </x:si>
  <x:si>
    <x:t xml:space="preserve">10850</x:t>
  </x:si>
  <x:si>
    <x:t xml:space="preserve">Cobertura rígida para condutor MT 26,4KV sem presilha para LV</x:t>
  </x:si>
  <x:si>
    <x:t xml:space="preserve">COB03335-2</x:t>
  </x:si>
  <x:si>
    <x:t xml:space="preserve">10305</x:t>
  </x:si>
  <x:si>
    <x:t xml:space="preserve">Cobertura rígida para condutor MT 36,6KV sem presilha para LV</x:t>
  </x:si>
  <x:si>
    <x:t xml:space="preserve">COB08835-2</x:t>
  </x:si>
  <x:si>
    <x:t xml:space="preserve">12466</x:t>
  </x:si>
  <x:si>
    <x:t xml:space="preserve">Cobertura rígida para RDC em condutor até 25mm 36,6KV para LV</x:t>
  </x:si>
  <x:si>
    <x:t xml:space="preserve">COB11147-1</x:t>
  </x:si>
  <x:si>
    <x:t xml:space="preserve">10849</x:t>
  </x:si>
  <x:si>
    <x:t xml:space="preserve">Cobertura rígida para cruzeta com isolador pilar tipo curta MT 36,6KV para LV</x:t>
  </x:si>
  <x:si>
    <x:t xml:space="preserve">COB11173-2</x:t>
  </x:si>
  <x:si>
    <x:t xml:space="preserve">13264</x:t>
  </x:si>
  <x:si>
    <x:t xml:space="preserve">Cobertura rígida para cruzeta com isolador Pino 36,6KV para LV</x:t>
  </x:si>
  <x:si>
    <x:t xml:space="preserve">ROT 5044/400279</x:t>
  </x:si>
  <x:si>
    <x:t xml:space="preserve">13246</x:t>
  </x:si>
  <x:si>
    <x:t xml:space="preserve">Cobertura rígida circular para poste ( frisada ) 230x1200mm 36,6KV para LV</x:t>
  </x:si>
  <x:si>
    <x:t xml:space="preserve">ROT 5048-5</x:t>
  </x:si>
  <x:si>
    <x:t xml:space="preserve">13247</x:t>
  </x:si>
  <x:si>
    <x:t xml:space="preserve">Cobertura rígida circular para poste ( frisada ) 230x1800mm 36,6KV para LV</x:t>
  </x:si>
  <x:si>
    <x:t xml:space="preserve">ROT 5048-7/4004</x:t>
  </x:si>
  <x:si>
    <x:t xml:space="preserve">13248</x:t>
  </x:si>
  <x:si>
    <x:t xml:space="preserve">Cobertura rígida circular para poste ( frisada ) 230x600mm 36,6KV para LV</x:t>
  </x:si>
  <x:si>
    <x:t xml:space="preserve">ROT 5048-3/4004</x:t>
  </x:si>
  <x:si>
    <x:t xml:space="preserve">13249</x:t>
  </x:si>
  <x:si>
    <x:t xml:space="preserve">Cobertura rígida circular para poste ( frisada ) 300x1200mm 36,6KV para LV</x:t>
  </x:si>
  <x:si>
    <x:t xml:space="preserve">ROT 517-1141/40</x:t>
  </x:si>
  <x:si>
    <x:t xml:space="preserve">12713</x:t>
  </x:si>
  <x:si>
    <x:t xml:space="preserve">Cobertura rígida para RDC em suporte "C" e isolador pilar 26,4kV para LV</x:t>
  </x:si>
  <x:si>
    <x:t xml:space="preserve">COB 11170-2</x:t>
  </x:si>
  <x:si>
    <x:t xml:space="preserve">10990</x:t>
  </x:si>
  <x:si>
    <x:t xml:space="preserve">Cobertura rígida para RDC em suporte horizontal 26,4KV para LV</x:t>
  </x:si>
  <x:si>
    <x:t xml:space="preserve">COB11047-1</x:t>
  </x:si>
  <x:si>
    <x:t xml:space="preserve">13238</x:t>
  </x:si>
  <x:si>
    <x:t xml:space="preserve">Cone sin. flexível 75cm laranja/branco com 2 faixas refletivas com furo</x:t>
  </x:si>
  <x:si>
    <x:t xml:space="preserve">6512</x:t>
  </x:si>
  <x:si>
    <x:t xml:space="preserve">19504</x:t>
  </x:si>
  <x:si>
    <x:t xml:space="preserve">Conjunto aterramento M.T. 34,5KV trif.- tipo Rede Distrib. c/trado e sela padrão COPEL</x:t>
  </x:si>
  <x:si>
    <x:t xml:space="preserve">ATR-322987-1 /</x:t>
  </x:si>
  <x:si>
    <x:t xml:space="preserve">85359010</x:t>
  </x:si>
  <x:si>
    <x:t xml:space="preserve">15111</x:t>
  </x:si>
  <x:si>
    <x:t xml:space="preserve">Conjunto aterramento B.T. 1,0KV - tipo Multiplex 4 grampos pressão s/bolsa</x:t>
  </x:si>
  <x:si>
    <x:t xml:space="preserve">SE 4839 / SEG 1</x:t>
  </x:si>
  <x:si>
    <x:t xml:space="preserve">16287</x:t>
  </x:si>
  <x:si>
    <x:t xml:space="preserve">Detector de tensão por contato STAND BY 70V a 1Kv</x:t>
  </x:si>
  <x:si>
    <x:t xml:space="preserve">DTC-SB70-1000</x:t>
  </x:si>
  <x:si>
    <x:t xml:space="preserve">90303990</x:t>
  </x:si>
  <x:si>
    <x:t xml:space="preserve">19473</x:t>
  </x:si>
  <x:si>
    <x:t xml:space="preserve">Detector de tensão tipo stand by por contato MT de 10KV a 36KV conforme norma IEC 61243-1</x:t>
  </x:si>
  <x:si>
    <x:t xml:space="preserve">CT 10-36 IEC</x:t>
  </x:si>
  <x:si>
    <x:t xml:space="preserve">90303390</x:t>
  </x:si>
  <x:si>
    <x:t xml:space="preserve">12774</x:t>
  </x:si>
  <x:si>
    <x:t xml:space="preserve">Lencol isolante cor laranja classe 2 - 20KV tam. 910 x 910mm com entalhe</x:t>
  </x:si>
  <x:si>
    <x:t xml:space="preserve">000.910.005.08</x:t>
  </x:si>
  <x:si>
    <x:t xml:space="preserve">14224</x:t>
  </x:si>
  <x:si>
    <x:t xml:space="preserve">Lençol isolante BT CL 0 tamanho 800mm comprimento c/velcro colado e certificado</x:t>
  </x:si>
  <x:si>
    <x:t xml:space="preserve">RB 1316</x:t>
  </x:si>
  <x:si>
    <x:t xml:space="preserve">40082900</x:t>
  </x:si>
  <x:si>
    <x:t xml:space="preserve">18900</x:t>
  </x:si>
  <x:si>
    <x:t xml:space="preserve">Bolsa para 4 lençois BT 40cmx12cmx15cm - em lona verde</x:t>
  </x:si>
  <x:si>
    <x:t xml:space="preserve">120.147.0000</x:t>
  </x:si>
  <x:si>
    <x:t xml:space="preserve">12775</x:t>
  </x:si>
  <x:si>
    <x:t xml:space="preserve">Lençol isolante cor laranja classe 2 - 20KV tam. 910 x 910mm inteiriço</x:t>
  </x:si>
  <x:si>
    <x:t xml:space="preserve">000.910.005.09</x:t>
  </x:si>
  <x:si>
    <x:t xml:space="preserve">10404</x:t>
  </x:si>
  <x:si>
    <x:t xml:space="preserve">Lençol isolante 36KV inteiriço tam. 900x900mm para LV</x:t>
  </x:si>
  <x:si>
    <x:t xml:space="preserve">LR-4/II</x:t>
  </x:si>
  <x:si>
    <x:t xml:space="preserve">19308</x:t>
  </x:si>
  <x:si>
    <x:t xml:space="preserve">Alça manga isolante</x:t>
  </x:si>
  <x:si>
    <x:t xml:space="preserve">16257</x:t>
  </x:si>
  <x:si>
    <x:t xml:space="preserve">Testador de fase analógico de 0,1KV a 48kV ( acompanha 1 par extensão resistor ) para LV</x:t>
  </x:si>
  <x:si>
    <x:t xml:space="preserve">TFA16 1P-48</x:t>
  </x:si>
  <x:si>
    <x:t xml:space="preserve">10076</x:t>
  </x:si>
  <x:si>
    <x:t xml:space="preserve">Vara de manobra 4 elementos (5,20m) 38mm sem cabeçote - Promo</x:t>
  </x:si>
  <x:si>
    <x:t xml:space="preserve">VMR 70</x:t>
  </x:si>
  <x:si>
    <x:t xml:space="preserve">10342</x:t>
  </x:si>
  <x:si>
    <x:t xml:space="preserve">Bolsa para VM 4 elementos 150cmx36cm - em lona verde</x:t>
  </x:si>
  <x:si>
    <x:t xml:space="preserve">120.180.D000</x:t>
  </x:si>
  <x:si>
    <x:t xml:space="preserve">10190</x:t>
  </x:si>
  <x:si>
    <x:t xml:space="preserve">Vara de manobra telescópica 7 seções reforçadas (9,71m) sem cabeçote</x:t>
  </x:si>
  <x:si>
    <x:t xml:space="preserve">VTT-3HD/9</x:t>
  </x:si>
  <x:si>
    <x:t xml:space="preserve">10629</x:t>
  </x:si>
  <x:si>
    <x:t xml:space="preserve">Bolsa para VTT 185cmx20cm ( VTT 5ER / VTT 3HD/9 / VTT 1/8 ) - em lona verde</x:t>
  </x:si>
  <x:si>
    <x:t xml:space="preserve">120.184.T400</x:t>
  </x:si>
  <x:si>
    <x:t xml:space="preserve">Categoria</x:t>
  </x:si>
  <x:si>
    <x:t xml:space="preserve">Subgrupo</x:t>
  </x:si>
  <x:si>
    <x:t xml:space="preserve">Item / Descrição</x:t>
  </x:si>
  <x:si>
    <x:t xml:space="preserve">ETS</x:t>
  </x:si>
  <x:si>
    <x:t xml:space="preserve">Quantidade</x:t>
  </x:si>
  <x:si>
    <x:t xml:space="preserve">Individual</x:t>
  </x:si>
  <x:si>
    <x:t xml:space="preserve">Turma</x:t>
  </x:si>
  <x:si>
    <x:t xml:space="preserve">Ensaio</x:t>
  </x:si>
  <x:si>
    <x:t xml:space="preserve">Página PDF</x:t>
  </x:si>
  <x:si>
    <x:t xml:space="preserve">Equipamentos e ferramentas de uso coletivo</x:t>
  </x:si>
  <x:si>
    <x:t xml:space="preserve">Alavanca de aço 1" x 1,80 m</x:t>
  </x:si>
  <x:si>
    <x:t xml:space="preserve">Alicate de compressão hidráulica 12 t Acionamento Manual NTC 890020</x:t>
  </x:si>
  <x:si>
    <x:t xml:space="preserve">Alicate de compressão mecânica 4 t</x:t>
  </x:si>
  <x:si>
    <x:t xml:space="preserve">1</x:t>
  </x:si>
  <x:si>
    <x:t xml:space="preserve">Arco de serra de 300 mm com lâmina</x:t>
  </x:si>
  <x:si>
    <x:t xml:space="preserve">Bandeira ou placa sinalizadora de 300 x 300 mm</x:t>
  </x:si>
  <x:si>
    <x:t xml:space="preserve">1.073</x:t>
  </x:si>
  <x:si>
    <x:t xml:space="preserve">Bastão de aterramento para BT com capa</x:t>
  </x:si>
  <x:si>
    <x:t xml:space="preserve">2</x:t>
  </x:si>
  <x:si>
    <x:t xml:space="preserve">Bastão pega tudo 32 x 3.190 mm</x:t>
  </x:si>
  <x:si>
    <x:t xml:space="preserve">Batedor de haste B220</x:t>
  </x:si>
  <x:si>
    <x:t xml:space="preserve">Binóculo prismático 30 x 50mm</x:t>
  </x:si>
  <x:si>
    <x:t xml:space="preserve">Capacete com protetor facial</x:t>
  </x:si>
  <x:si>
    <x:t xml:space="preserve">1.086</x:t>
  </x:si>
  <x:si>
    <x:t xml:space="preserve">Catraca guincho portátil para 1250 kgf com cabo de aço ou corrente</x:t>
  </x:si>
  <x:si>
    <x:t xml:space="preserve">Cavadeira articulada bater e tirar</x:t>
  </x:si>
  <x:si>
    <x:t xml:space="preserve">Cavadeira de corte com espátula</x:t>
  </x:si>
  <x:si>
    <x:t xml:space="preserve">Colher de pedreiro de 18 cm</x:t>
  </x:si>
  <x:si>
    <x:t xml:space="preserve">Cone de 750 mm de altura</x:t>
  </x:si>
  <x:si>
    <x:t xml:space="preserve">12</x:t>
  </x:si>
  <x:si>
    <x:t xml:space="preserve">Conjunto de segurança para trabalho em cesto aéreo</x:t>
  </x:si>
  <x:si>
    <x:t xml:space="preserve">1.066</x:t>
  </x:si>
  <x:si>
    <x:t xml:space="preserve">Conjunto de segurança para operador de motosserra - calça para operador de motosserra, Capacete de segurança (equipado com protetor auricular tipo concha e protetor facial de tela)</x:t>
  </x:si>
  <x:si>
    <x:t xml:space="preserve">Corda em polietileno de 6mm para SINALIZAÇÃO AMARELA</x:t>
  </x:si>
  <x:si>
    <x:t xml:space="preserve">30 m</x:t>
  </x:si>
  <x:si>
    <x:t xml:space="preserve">Cunha de madeira para uso em rede secundária isolada – similar NTC 890181</x:t>
  </x:si>
  <x:si>
    <x:t xml:space="preserve">3</x:t>
  </x:si>
  <x:si>
    <x:t xml:space="preserve">Descascador de condutor XLPE 13,8kV 16mm, 35mm, 70mm, 185mm</x:t>
  </x:si>
  <x:si>
    <x:t xml:space="preserve">Descascador de ponta de condutor XLPE 13,8kV 16mm, 35mm, 70mm, 185mm</x:t>
  </x:si>
  <x:si>
    <x:t xml:space="preserve">Detector de BT por contato com luz e som</x:t>
  </x:si>
  <x:si>
    <x:t xml:space="preserve">1.034</x:t>
  </x:si>
  <x:si>
    <x:t xml:space="preserve">Detector de MT por contato com luz e som</x:t>
  </x:si>
  <x:si>
    <x:t xml:space="preserve">Enxada com cabo, lâmina de 28 a 35mm</x:t>
  </x:si>
  <x:si>
    <x:t xml:space="preserve">Enxadão de 1500 g</x:t>
  </x:si>
  <x:si>
    <x:t xml:space="preserve">Escada extensível de madeira ou fibra de vidro 4,90 x 8,60 m</x:t>
  </x:si>
  <x:si>
    <x:t xml:space="preserve">1.029 / 1.030</x:t>
  </x:si>
  <x:si>
    <x:t xml:space="preserve">(2)</x:t>
  </x:si>
  <x:si>
    <x:t xml:space="preserve">Escada singela de madeira ou fibra de vidro de 4 m</x:t>
  </x:si>
  <x:si>
    <x:t xml:space="preserve">Esticador de cabo 4/0 a 477 MCM</x:t>
  </x:si>
  <x:si>
    <x:t xml:space="preserve">Estojo de primeiros socorros</x:t>
  </x:si>
  <x:si>
    <x:t xml:space="preserve">Facão com lâmina de 460 mm e bainha</x:t>
  </x:si>
  <x:si>
    <x:t xml:space="preserve">Farol portátil 12 V com 20 m de fio</x:t>
  </x:si>
  <x:si>
    <x:t xml:space="preserve">Foice com cabo de 900 mm</x:t>
  </x:si>
  <x:si>
    <x:t xml:space="preserve">Içador para poste Duplo T 2000KG “GATO” - NTC890740</x:t>
  </x:si>
  <x:si>
    <x:t xml:space="preserve">Interruptor de carga 13,8 kV – 600 A</x:t>
  </x:si>
  <x:si>
    <x:t xml:space="preserve">Interruptor de carga 34,5 kV – 600 A</x:t>
  </x:si>
  <x:si>
    <x:t xml:space="preserve">Jogo de gabarito de zinco pintura de letra e número de 50 mm</x:t>
  </x:si>
  <x:si>
    <x:t xml:space="preserve">Kit para salvamento/resgate em altura</x:t>
  </x:si>
  <x:si>
    <x:t xml:space="preserve">1.090</x:t>
  </x:si>
  <x:si>
    <x:t xml:space="preserve">4</x:t>
  </x:si>
  <x:si>
    <x:t xml:space="preserve">Lima chata tipo murça de 203 mm</x:t>
  </x:si>
  <x:si>
    <x:t xml:space="preserve">Linga de poliéster, 1200mm de comprimento</x:t>
  </x:si>
  <x:si>
    <x:t xml:space="preserve">Linga de poliéster, 600mm de comprimento</x:t>
  </x:si>
  <x:si>
    <x:t xml:space="preserve">Linga de poliéster, 800mm de comprimento</x:t>
  </x:si>
  <x:si>
    <x:t xml:space="preserve">Luva para cravar haste B-137-14</x:t>
  </x:si>
  <x:si>
    <x:t xml:space="preserve">Machado de 500 g com cabo</x:t>
  </x:si>
  <x:si>
    <x:t xml:space="preserve">Conjunto de matrizes</x:t>
  </x:si>
  <x:si>
    <x:t xml:space="preserve">Matriz compressão hidráulica de 12 t – índice 163A (RDU) - Sextavada</x:t>
  </x:si>
  <x:si>
    <x:t xml:space="preserve">Matriz compressão hidráulica de 12 t – índice 169 (Litoral)</x:t>
  </x:si>
  <x:si>
    <x:t xml:space="preserve">Matriz c. hidráulica 12 t - índice 242 (uso RDR) SEXTAVADA</x:t>
  </x:si>
  <x:si>
    <x:t xml:space="preserve">Matriz compressão hidráulica de 12 t – índice 245A (RDU) – Sextavada</x:t>
  </x:si>
  <x:si>
    <x:t xml:space="preserve">Matriz c. hidráulica 12 t - índice 248 (uso RDR)</x:t>
  </x:si>
  <x:si>
    <x:t xml:space="preserve">Matriz compressão hidráulica de 12 t – índice 249A (RDU, RDR e Litoral) – Sextavada</x:t>
  </x:si>
  <x:si>
    <x:t xml:space="preserve">Matriz compressão hidráulica de 12 t – índice 317 (RDU)</x:t>
  </x:si>
  <x:si>
    <x:t xml:space="preserve">Matriz compressão hidráulica de 12 t – índice 321A (RDU) - Sextavada</x:t>
  </x:si>
  <x:si>
    <x:t xml:space="preserve">Matriz compressão mecânica de 4 t – índice 161 (Litoral)</x:t>
  </x:si>
  <x:si>
    <x:t xml:space="preserve">Matriz compressão mecânica de 4 t – índice 162 (RDU e RDR)</x:t>
  </x:si>
  <x:si>
    <x:t xml:space="preserve">Matriz compressão mecânica de 4 t – índice 163 (RDU, RDR e Litoral</x:t>
  </x:si>
  <x:si>
    <x:t xml:space="preserve">Matriz compressão mecânica de 4 t – índice 165 (Litoral)</x:t>
  </x:si>
  <x:si>
    <x:t xml:space="preserve">Matriz compressão mecânica de 4 t – índice 236 (RDR)</x:t>
  </x:si>
  <x:si>
    <x:t xml:space="preserve">Matriz compressão mecânica de 4 t – índice 237 (RDR e Litoral)</x:t>
  </x:si>
  <x:si>
    <x:t xml:space="preserve">Matriz compressão mecânica de 4 t – índice 239 (Litoral)</x:t>
  </x:si>
  <x:si>
    <x:t xml:space="preserve">Matriz compressão mecânica de 4 t – índice 242</x:t>
  </x:si>
  <x:si>
    <x:t xml:space="preserve">Matriz compressão mecânica de 4 t – índice 243 (RDU e RDR)</x:t>
  </x:si>
  <x:si>
    <x:t xml:space="preserve">Matriz compressão mecânica de 4 t – índice 245</x:t>
  </x:si>
  <x:si>
    <x:t xml:space="preserve">Matriz compressão mecânica de 4 t – índice 248</x:t>
  </x:si>
  <x:si>
    <x:t xml:space="preserve">Matriz compressão mecânica de 4 t – índice 249</x:t>
  </x:si>
  <x:si>
    <x:t xml:space="preserve">Medidor de resistência de terra com acessórios</x:t>
  </x:si>
  <x:si>
    <x:t xml:space="preserve">1*</x:t>
  </x:si>
  <x:si>
    <x:t xml:space="preserve">EC</x:t>
  </x:si>
  <x:si>
    <x:t xml:space="preserve">Moitão triplo para 1000 kgf com 60m de corda de polipropileno de 1/2”</x:t>
  </x:si>
  <x:si>
    <x:t xml:space="preserve">Pá com cabo</x:t>
  </x:si>
  <x:si>
    <x:t xml:space="preserve">Picareta</x:t>
  </x:si>
  <x:si>
    <x:t xml:space="preserve">Pincel para pintura</x:t>
  </x:si>
  <x:si>
    <x:t xml:space="preserve">Placa de alerta 20 x 30 cm com a descrição: "Atenção – Não opere este equipamento" com capa de lona</x:t>
  </x:si>
  <x:si>
    <x:t xml:space="preserve">Prumo de pedreiro</x:t>
  </x:si>
  <x:si>
    <x:t xml:space="preserve">Roldana para lançamento de cabo de AT</x:t>
  </x:si>
  <x:si>
    <x:t xml:space="preserve">9</x:t>
  </x:si>
  <x:si>
    <x:t xml:space="preserve">Roldana para lançamento de condutor de BT</x:t>
  </x:si>
  <x:si>
    <x:t xml:space="preserve">6</x:t>
  </x:si>
  <x:si>
    <x:t xml:space="preserve">Serra para poda adaptável para vara de manobra</x:t>
  </x:si>
  <x:si>
    <x:t xml:space="preserve">Serra manual para corte de galhos, 35 cm</x:t>
  </x:si>
  <x:si>
    <x:t xml:space="preserve">Soquete com cabo de madeira</x:t>
  </x:si>
  <x:si>
    <x:t xml:space="preserve">Tesourão para corte de cabo de aço</x:t>
  </x:si>
  <x:si>
    <x:t xml:space="preserve">Tirfor 1500 kgf com 30m de cabo de aço</x:t>
  </x:si>
  <x:si>
    <x:t xml:space="preserve">Trado ou arco de pua 5/8"</x:t>
  </x:si>
  <x:si>
    <x:t xml:space="preserve">Trena de aço ou escala métrica 2 m</x:t>
  </x:si>
  <x:si>
    <x:t xml:space="preserve">Trena de fibra de vidro 50 m</x:t>
  </x:si>
  <x:si>
    <x:t xml:space="preserve">Virador de poste Duplo T</x:t>
  </x:si>
  <x:si>
    <x:t xml:space="preserve">Volt-amperímetro,600V, Categoria IV (para uso no SEP), com classe de exatidão de 2%</x:t>
  </x:si>
  <x:si>
    <x:t xml:space="preserve">Equipamentos e ferramentas de uso individual</x:t>
  </x:si>
  <x:si>
    <x:t xml:space="preserve">Alicate prendedor com lâmina deslizante (bomba d'água) de 305 mm de comprimento</x:t>
  </x:si>
  <x:si>
    <x:t xml:space="preserve">Alicate universal (200 mm) cobertura isolada</x:t>
  </x:si>
  <x:si>
    <x:t xml:space="preserve">Calça Antichama</x:t>
  </x:si>
  <x:si>
    <x:t xml:space="preserve">1.055</x:t>
  </x:si>
  <x:si>
    <x:t xml:space="preserve">Camiseta manga curta ou comprida</x:t>
  </x:si>
  <x:si>
    <x:t xml:space="preserve">1.001</x:t>
  </x:si>
  <x:si>
    <x:t xml:space="preserve">Camisa Antichama, manga comprida</x:t>
  </x:si>
  <x:si>
    <x:t xml:space="preserve">Conjunto impermeável (calça e jaqueta) para chuva - cor amarela</x:t>
  </x:si>
  <x:si>
    <x:t xml:space="preserve">1.006</x:t>
  </x:si>
  <x:si>
    <x:t xml:space="preserve">Conjunto de Segurança para Trabalhos em Altura</x:t>
  </x:si>
  <x:si>
    <x:t xml:space="preserve">1.019</x:t>
  </x:si>
  <x:si>
    <x:t xml:space="preserve">Conjunto de aterramento temporário tipo sela (atender as especificações do equipamento definidas no MIT – 161612) - da VTT</x:t>
  </x:si>
  <x:si>
    <x:t xml:space="preserve">Capacete de aba frontal, tipo II - classe B</x:t>
  </x:si>
  <x:si>
    <x:t xml:space="preserve">1.015</x:t>
  </x:si>
  <x:si>
    <x:t xml:space="preserve">Chave de boca de 16 x 17 mm</x:t>
  </x:si>
  <x:si>
    <x:t xml:space="preserve">Chave de boca 25 x 28 mm</x:t>
  </x:si>
  <x:si>
    <x:t xml:space="preserve">Chave de fenda 150x6 mm</x:t>
  </x:si>
  <x:si>
    <x:t xml:space="preserve">Chave estrela de 18 x 19 mm</x:t>
  </x:si>
  <x:si>
    <x:t xml:space="preserve">Chave estrela de 10 x 11 mm</x:t>
  </x:si>
  <x:si>
    <x:t xml:space="preserve">Chave estrela de 12 x 13 mm</x:t>
  </x:si>
  <x:si>
    <x:t xml:space="preserve">Chave inglesa abertura 30 mm, NTC 890131</x:t>
  </x:si>
  <x:si>
    <x:t xml:space="preserve">Chave inglesa abertura 23 mm, NTC 890130</x:t>
  </x:si>
  <x:si>
    <x:t xml:space="preserve">Corda de 13 metros – Poliamida 10mm – NTC 890173</x:t>
  </x:si>
  <x:si>
    <x:t xml:space="preserve">Escova de aço tipo V para limpeza de cabo</x:t>
  </x:si>
  <x:si>
    <x:t xml:space="preserve">Espora com correia para poste duplo T (par) Tipo B</x:t>
  </x:si>
  <x:si>
    <x:t xml:space="preserve">Jaqueta Antichama</x:t>
  </x:si>
  <x:si>
    <x:t xml:space="preserve">1.081</x:t>
  </x:si>
  <x:si>
    <x:t xml:space="preserve">Luva vaqueta</x:t>
  </x:si>
  <x:si>
    <x:t xml:space="preserve">1.014</x:t>
  </x:si>
  <x:si>
    <x:t xml:space="preserve">Luva de borracha para BT – Classe 0 – 1000 V (par)</x:t>
  </x:si>
  <x:si>
    <x:t xml:space="preserve">2.015</x:t>
  </x:si>
  <x:si>
    <x:t xml:space="preserve">Luva de Borracha classe II isolada para 20Kv (par)</x:t>
  </x:si>
  <x:si>
    <x:t xml:space="preserve">Luva de pelica para proteção de luva de borracha</x:t>
  </x:si>
  <x:si>
    <x:t xml:space="preserve">Marreta 500g com cabo</x:t>
  </x:si>
  <x:si>
    <x:t xml:space="preserve">Coturno de couro com solado isolado (par)</x:t>
  </x:si>
  <x:si>
    <x:t xml:space="preserve">1.022</x:t>
  </x:si>
  <x:si>
    <x:t xml:space="preserve">Óculos de segurança incolor</x:t>
  </x:si>
  <x:si>
    <x:t xml:space="preserve">1.037</x:t>
  </x:si>
  <x:si>
    <x:t xml:space="preserve">Óculos de lente escura</x:t>
  </x:si>
  <x:si>
    <x:t xml:space="preserve">Pasta de lona para ferramentas</x:t>
  </x:si>
  <x:si>
    <x:t xml:space="preserve">Polaina para proteção contra mordida de cobra</x:t>
  </x:si>
  <x:si>
    <x:t xml:space="preserve">1.089</x:t>
  </x:si>
  <x:si>
    <x:t xml:space="preserve">Veículos</x:t>
  </x:si>
  <x:si>
    <x:t xml:space="preserve">Caminhão com carroceria, equipado com giroflex, alarme de sapata e guindauto cuja capacidade de carga seja de 5.000 kg e momento de carga útil de 10.000 kgf/m, no mínimo. com cesto acoplado**</x:t>
  </x:si>
  <x:si>
    <x:t xml:space="preserve">*1</x:t>
  </x:si>
  <x:si>
    <x:t xml:space="preserve">Camioneta para turma com tração 4x4 com giroflex</x:t>
  </x:si>
  <x:si>
    <x:t xml:space="preserve">Equipamentos de comunicação</x:t>
  </x:si>
  <x:si>
    <x:t xml:space="preserve">Equipamento de Comunicação de voz e dados (Tablet), com telefone celular integrado, com carregador veicular e demais acessórios obrigatórios (ver anexo X).</x:t>
  </x:si>
  <x:si>
    <x:t xml:space="preserve">Câmera de vídeomonitoramento conforme especificações descritas no anexo XII.</x:t>
  </x:si>
  <x:si>
    <x:t xml:space="preserve">Composição da turma</x:t>
  </x:si>
  <x:si>
    <x:t xml:space="preserve">Eletricista Encarregado</x:t>
  </x:si>
  <x:si>
    <x:t xml:space="preserve">Eletricista Oficial</x:t>
  </x:si>
</x:sst>
</file>

<file path=xl/styles.xml><?xml version="1.0" encoding="utf-8"?>
<x:styleSheet xmlns:x="http://schemas.openxmlformats.org/spreadsheetml/2006/main">
  <x:numFmts count="7">
    <x:numFmt numFmtId="8" formatCode="&quot;R$&quot;\ #,##0.00;[Red]\-&quot;R$&quot;\ #,##0.00"/>
    <x:numFmt numFmtId="44" formatCode="_-&quot;R$&quot;\ * #,##0.00_-;\-&quot;R$&quot;\ * #,##0.00_-;_-&quot;R$&quot;\ * &quot;-&quot;??_-;_-@_-"/>
    <x:numFmt numFmtId="164" formatCode="&quot;R$&quot;\ #,##0.00"/>
    <x:numFmt numFmtId="165" formatCode="\R\$\ #,##0.0000"/>
    <x:numFmt numFmtId="166" formatCode="\R\$\ #,##0.00"/>
    <x:numFmt numFmtId="167" formatCode="&quot;R$&quot;\ #,##0.00000000;[Red]\-&quot;R$&quot;\ #,##0.00000000"/>
    <x:numFmt numFmtId="200" formatCode="#,##0.00"/>
  </x:numFmts>
  <x:fonts count="20">
    <x:font>
      <x:sz val="11"/>
      <x:color theme="1"/>
      <x:name val="Calibri"/>
    </x:font>
    <x:font>
      <x:sz val="11"/>
      <x:color theme="1"/>
      <x:name val="Calibri"/>
    </x:font>
    <x:font>
      <x:b/>
      <x:sz val="14"/>
      <x:color theme="1"/>
      <x:name val="Arial"/>
    </x:font>
    <x:font>
      <x:b/>
      <x:sz val="11"/>
      <x:color theme="1"/>
      <x:name val="Calibri"/>
    </x:font>
    <x:font>
      <x:sz val="12"/>
      <x:color theme="1"/>
      <x:name val="Arial"/>
    </x:font>
    <x:font>
      <x:sz val="12"/>
      <x:color rgb="000000"/>
      <x:name val="Arial"/>
    </x:font>
    <x:font>
      <x:b/>
      <x:sz val="9"/>
      <x:color indexed="81"/>
      <x:name val="Segoe UI"/>
    </x:font>
    <x:font>
      <x:sz val="11"/>
      <x:name val="Carlito"/>
    </x:font>
    <x:font>
      <x:b/>
      <x:sz val="10"/>
      <x:color rgb="111827"/>
      <x:name val="Calibri"/>
    </x:font>
    <x:font>
      <x:sz val="10"/>
      <x:color rgb="111827"/>
      <x:name val="Calibri"/>
    </x:font>
    <x:font>
      <x:sz val="11"/>
      <x:color theme="1"/>
      <x:name val="Bahnschrift Condensed"/>
    </x:font>
    <x:font>
      <x:sz val="11"/>
      <x:color rgb="FF0000"/>
      <x:name val="Bahnschrift Condensed"/>
    </x:font>
    <x:font>
      <x:b/>
      <x:sz val="11"/>
      <x:color rgb="000000"/>
      <x:name val="Carlito"/>
    </x:font>
    <x:font>
      <x:sz val="10"/>
      <x:name val="Carlito"/>
    </x:font>
    <x:font>
      <x:sz val="10"/>
      <x:color rgb="000000"/>
      <x:name val="Times New Roman"/>
    </x:font>
    <x:font>
      <x:sz val="10"/>
      <x:color theme="1"/>
      <x:name val="Bahnschrift Condensed"/>
    </x:font>
    <x:font>
      <x:sz val="12"/>
      <x:color theme="1"/>
      <x:name val="Calibri"/>
    </x:font>
    <x:font>
      <x:sz val="10"/>
      <x:color rgb="000000"/>
      <x:name val="Bahnschrift Condensed"/>
    </x:font>
    <x:font>
      <x:b/>
      <x:sz val="11"/>
      <x:color rgb="FF0000"/>
      <x:name val="Bahnschrift Condensed"/>
    </x:font>
    <x:font>
      <x:b/>
      <x:sz val="11"/>
      <x:color rgb="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9" tint="0.59999"/>
      </x:patternFill>
    </x:fill>
    <x:fill>
      <x:patternFill patternType="solid">
        <x:fgColor theme="7" tint="0.59999"/>
      </x:patternFill>
    </x:fill>
    <x:fill>
      <x:patternFill patternType="solid">
        <x:fgColor theme="8" tint="0.59999"/>
      </x:patternFill>
    </x:fill>
    <x:fill>
      <x:patternFill patternType="solid">
        <x:fgColor theme="3" tint="0.79998"/>
      </x:patternFill>
    </x:fill>
    <x:fill>
      <x:patternFill patternType="solid">
        <x:fgColor theme="9" tint="0.39998"/>
      </x:patternFill>
    </x:fill>
    <x:fill>
      <x:patternFill patternType="solid">
        <x:fgColor rgb="D9EAF7"/>
      </x:patternFill>
    </x:fill>
    <x:fill>
      <x:patternFill patternType="solid">
        <x:fgColor theme="4" tint="0.59999"/>
      </x:patternFill>
    </x:fill>
    <x:fill>
      <x:patternFill patternType="solid">
        <x:fgColor theme="0" tint="-0.24998"/>
      </x:patternFill>
    </x:fill>
    <x:fill>
      <x:patternFill patternType="solid">
        <x:fgColor rgb="1F4E78"/>
      </x:patternFill>
    </x:fill>
  </x:fills>
  <x:borders count="4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rgb="A7B6C2"/>
      </x:left>
      <x:top style="thin">
        <x:color rgb="A7B6C2"/>
      </x:top>
      <x:bottom style="thin">
        <x:color rgb="A7B6C2"/>
      </x:bottom>
    </x:border>
    <x:border>
      <x:top style="thin">
        <x:color rgb="A7B6C2"/>
      </x:top>
      <x:bottom style="thin">
        <x:color rgb="A7B6C2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left style="thin">
        <x:color rgb="E5E7EB"/>
      </x:lef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right style="thin">
        <x:color indexed="64"/>
      </x:right>
    </x:border>
    <x:border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medium">
        <x:color indexed="64"/>
      </x:left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A7B6C2"/>
      </x:left>
      <x:top style="thin">
        <x:color rgb="A7B6C2"/>
      </x:top>
      <x:bottom style="thin">
        <x:color rgb="A7B6C2"/>
      </x:bottom>
    </x:border>
    <x:border>
      <x:top style="thin">
        <x:color rgb="A7B6C2"/>
      </x:top>
      <x:bottom style="thin">
        <x:color rgb="A7B6C2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left style="thin">
        <x:color rgb="E5E7EB"/>
      </x:lef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bottom style="medium">
        <x:color indexed="64"/>
      </x:bottom>
    </x:border>
  </x:borders>
  <x:cellStyleXfs count="7">
    <x:xf numFmtId="0" fontId="0" fillId="0" borderId="0"/>
    <x:xf numFmtId="9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0" fontId="7" fillId="0" borderId="0"/>
  </x:cellStyleXfs>
  <x:cellXfs count="260">
    <x:xf numFmtId="0" fontId="0" fillId="0" borderId="0" xfId="0"/>
    <x:xf numFmtId="0" fontId="0" fillId="0" borderId="1" xfId="0" applyBorder="1" applyAlignment="1">
      <x:alignment horizontal="center" vertical="center"/>
    </x:xf>
    <x:xf numFmtId="10" fontId="0" fillId="0" borderId="0" xfId="0" applyNumberFormat="1"/>
    <x:xf numFmtId="164" fontId="0" fillId="4" borderId="0" xfId="0" applyNumberFormat="1" applyFill="1"/>
    <x:xf numFmtId="0" fontId="0" fillId="0" borderId="0" xfId="0" applyAlignment="1">
      <x:alignment horizontal="center" vertical="center"/>
    </x:xf>
    <x:xf numFmtId="0" fontId="8" fillId="8" borderId="3" xfId="6" applyFont="1" applyFill="1" applyBorder="1" applyAlignment="1">
      <x:alignment horizontal="center" vertical="center" wrapText="1"/>
    </x:xf>
    <x:xf numFmtId="0" fontId="8" fillId="8" borderId="4" xfId="6" applyFont="1" applyFill="1" applyBorder="1" applyAlignment="1">
      <x:alignment horizontal="center" vertical="center" wrapText="1"/>
    </x:xf>
    <x:xf numFmtId="0" fontId="7" fillId="0" borderId="0" xfId="6"/>
    <x:xf numFmtId="0" fontId="9" fillId="0" borderId="5" xfId="6" applyFont="1" applyBorder="1" applyAlignment="1">
      <x:alignment horizontal="center" vertical="center"/>
    </x:xf>
    <x:xf numFmtId="0" fontId="9" fillId="0" borderId="6" xfId="6" applyFont="1" applyBorder="1" applyAlignment="1">
      <x:alignment horizontal="center" vertical="center"/>
    </x:xf>
    <x:xf numFmtId="0" fontId="9" fillId="0" borderId="6" xfId="6" applyFont="1" applyBorder="1" applyAlignment="1">
      <x:alignment vertical="center" wrapText="1"/>
    </x:xf>
    <x:xf numFmtId="0" fontId="9" fillId="0" borderId="6" xfId="6" applyFont="1" applyBorder="1" applyAlignment="1">
      <x:alignment vertical="center"/>
    </x:xf>
    <x:xf numFmtId="1" fontId="9" fillId="0" borderId="6" xfId="6" applyNumberFormat="1" applyFont="1" applyBorder="1" applyAlignment="1">
      <x:alignment horizontal="center" vertical="center"/>
    </x:xf>
    <x:xf numFmtId="165" fontId="9" fillId="0" borderId="6" xfId="6" applyNumberFormat="1" applyFont="1" applyBorder="1" applyAlignment="1">
      <x:alignment vertical="center"/>
    </x:xf>
    <x:xf numFmtId="166" fontId="9" fillId="0" borderId="6" xfId="6" applyNumberFormat="1" applyFont="1" applyBorder="1" applyAlignment="1">
      <x:alignment vertical="center"/>
    </x:xf>
    <x:xf numFmtId="0" fontId="9" fillId="0" borderId="7" xfId="6" applyFont="1" applyBorder="1" applyAlignment="1">
      <x:alignment horizontal="center" vertical="center"/>
    </x:xf>
    <x:xf numFmtId="0" fontId="9" fillId="0" borderId="0" xfId="6" applyFont="1" applyAlignment="1">
      <x:alignment horizontal="center" vertical="center"/>
    </x:xf>
    <x:xf numFmtId="0" fontId="9" fillId="0" borderId="0" xfId="6" applyFont="1" applyAlignment="1">
      <x:alignment vertical="center" wrapText="1"/>
    </x:xf>
    <x:xf numFmtId="0" fontId="9" fillId="0" borderId="0" xfId="6" applyFont="1" applyAlignment="1">
      <x:alignment vertical="center"/>
    </x:xf>
    <x:xf numFmtId="1" fontId="9" fillId="0" borderId="0" xfId="6" applyNumberFormat="1" applyFont="1" applyAlignment="1">
      <x:alignment horizontal="center" vertical="center"/>
    </x:xf>
    <x:xf numFmtId="165" fontId="9" fillId="0" borderId="0" xfId="6" applyNumberFormat="1" applyFont="1" applyAlignment="1">
      <x:alignment vertical="center"/>
    </x:xf>
    <x:xf numFmtId="166" fontId="9" fillId="0" borderId="0" xfId="6" applyNumberFormat="1" applyFont="1" applyAlignment="1">
      <x:alignment vertical="center"/>
    </x:xf>
    <x:xf numFmtId="0" fontId="9" fillId="0" borderId="8" xfId="6" applyFont="1" applyBorder="1" applyAlignment="1">
      <x:alignment horizontal="center" vertical="center"/>
    </x:xf>
    <x:xf numFmtId="0" fontId="9" fillId="0" borderId="9" xfId="6" applyFont="1" applyBorder="1" applyAlignment="1">
      <x:alignment horizontal="center" vertical="center"/>
    </x:xf>
    <x:xf numFmtId="0" fontId="9" fillId="0" borderId="9" xfId="6" applyFont="1" applyBorder="1" applyAlignment="1">
      <x:alignment vertical="center" wrapText="1"/>
    </x:xf>
    <x:xf numFmtId="0" fontId="9" fillId="0" borderId="9" xfId="6" applyFont="1" applyBorder="1" applyAlignment="1">
      <x:alignment vertical="center"/>
    </x:xf>
    <x:xf numFmtId="1" fontId="9" fillId="0" borderId="9" xfId="6" applyNumberFormat="1" applyFont="1" applyBorder="1" applyAlignment="1">
      <x:alignment horizontal="center" vertical="center"/>
    </x:xf>
    <x:xf numFmtId="165" fontId="9" fillId="0" borderId="9" xfId="6" applyNumberFormat="1" applyFont="1" applyBorder="1" applyAlignment="1">
      <x:alignment vertical="center"/>
    </x:xf>
    <x:xf numFmtId="166" fontId="9" fillId="0" borderId="9" xfId="6" applyNumberFormat="1" applyFont="1" applyBorder="1" applyAlignment="1">
      <x:alignment vertical="center"/>
    </x:xf>
    <x:xf numFmtId="0" fontId="0" fillId="0" borderId="1" xfId="0" applyBorder="1"/>
    <x:xf numFmtId="0" fontId="0" fillId="9" borderId="1" xfId="0" applyFill="1" applyBorder="1" applyAlignment="1">
      <x:alignment horizontal="center" vertical="center"/>
    </x:xf>
    <x:xf numFmtId="0" fontId="10" fillId="0" borderId="1" xfId="0" applyFont="1" applyBorder="1" applyAlignment="1">
      <x:alignment horizontal="justify" vertical="top"/>
    </x:xf>
    <x:xf numFmtId="164" fontId="0" fillId="0" borderId="1" xfId="0" applyNumberFormat="1" applyBorder="1" applyAlignment="1">
      <x:alignment vertical="center"/>
    </x:xf>
    <x:xf numFmtId="164" fontId="0" fillId="0" borderId="0" xfId="0" applyNumberFormat="1" applyAlignment="1">
      <x:alignment vertical="center"/>
    </x:xf>
    <x:xf numFmtId="164" fontId="0" fillId="0" borderId="1" xfId="0" applyNumberFormat="1" applyBorder="1"/>
    <x:xf numFmtId="0" fontId="12" fillId="8" borderId="0" xfId="0" applyFont="1" applyFill="1" applyAlignment="1">
      <x:alignment horizontal="center" vertical="center" wrapText="1"/>
    </x:xf>
    <x:xf numFmtId="0" fontId="13" fillId="0" borderId="0" xfId="0" applyFont="1" applyAlignment="1">
      <x:alignment vertical="top" wrapText="1"/>
    </x:xf>
    <x:xf numFmtId="0" fontId="0" fillId="0" borderId="0" xfId="0" applyAlignment="1">
      <x:alignment horizontal="left" vertical="top"/>
    </x:xf>
    <x:xf numFmtId="164" fontId="10" fillId="0" borderId="1" xfId="0" applyNumberFormat="1" applyFont="1" applyBorder="1" applyAlignment="1">
      <x:alignment horizontal="left" vertical="top"/>
    </x:xf>
    <x:xf numFmtId="0" fontId="14" fillId="0" borderId="1" xfId="0" applyFont="1" applyBorder="1" applyAlignment="1">
      <x:alignment horizontal="left" vertical="top"/>
    </x:xf>
    <x:xf numFmtId="0" fontId="14" fillId="0" borderId="1" xfId="0" applyFont="1" applyBorder="1" applyAlignment="1">
      <x:alignment horizontal="center" vertical="top"/>
    </x:xf>
    <x:xf numFmtId="164" fontId="0" fillId="0" borderId="0" xfId="0" applyNumberFormat="1" applyAlignment="1">
      <x:alignment horizontal="left" vertical="top"/>
    </x:xf>
    <x:xf numFmtId="8" fontId="0" fillId="0" borderId="0" xfId="0" applyNumberFormat="1" applyAlignment="1">
      <x:alignment horizontal="center" vertical="center"/>
    </x:xf>
    <x:xf numFmtId="8" fontId="0" fillId="0" borderId="0" xfId="0" applyNumberFormat="1" applyAlignment="1">
      <x:alignment horizontal="left" vertical="top"/>
    </x:xf>
    <x:xf numFmtId="8" fontId="10" fillId="0" borderId="0" xfId="0" applyNumberFormat="1" applyFont="1" applyAlignment="1">
      <x:alignment horizontal="center" vertical="center"/>
    </x:xf>
    <x:xf numFmtId="167" fontId="0" fillId="0" borderId="0" xfId="0" applyNumberFormat="1" applyAlignment="1">
      <x:alignment horizontal="center" vertical="center"/>
    </x:xf>
    <x:xf numFmtId="8" fontId="15" fillId="0" borderId="0" xfId="0" applyNumberFormat="1" applyFont="1" applyAlignment="1">
      <x:alignment horizontal="center" vertical="center"/>
    </x:xf>
    <x:xf numFmtId="164" fontId="15" fillId="0" borderId="0" xfId="0" applyNumberFormat="1" applyFont="1" applyAlignment="1">
      <x:alignment horizontal="center" vertical="center"/>
    </x:xf>
    <x:xf numFmtId="0" fontId="16" fillId="0" borderId="0" xfId="0" applyFont="1" applyAlignment="1">
      <x:alignment horizontal="left" vertical="top" wrapText="1"/>
    </x:xf>
    <x:xf numFmtId="10" fontId="10" fillId="0" borderId="0" xfId="0" applyNumberFormat="1" applyFont="1" applyAlignment="1">
      <x:alignment horizontal="center" vertical="center"/>
    </x:xf>
    <x:xf numFmtId="10" fontId="0" fillId="0" borderId="0" xfId="0" applyNumberFormat="1" applyAlignment="1">
      <x:alignment horizontal="center" vertical="center"/>
    </x:xf>
    <x:xf numFmtId="9" fontId="0" fillId="0" borderId="0" xfId="0" applyNumberFormat="1" applyAlignment="1">
      <x:alignment horizontal="center" vertical="center"/>
    </x:xf>
    <x:xf numFmtId="0" fontId="16" fillId="0" borderId="0" xfId="0" applyFont="1" applyAlignment="1">
      <x:alignment horizontal="left" vertical="top"/>
    </x:xf>
    <x:xf numFmtId="0" fontId="15" fillId="0" borderId="0" xfId="0" applyFont="1" applyAlignment="1">
      <x:alignment horizontal="left" vertical="top"/>
    </x:xf>
    <x:xf numFmtId="0" fontId="17" fillId="6" borderId="0" xfId="0" applyFont="1" applyFill="1" applyAlignment="1">
      <x:alignment horizontal="justify" vertical="top"/>
    </x:xf>
    <x:xf numFmtId="0" fontId="17" fillId="6" borderId="0" xfId="0" applyFont="1" applyFill="1" applyAlignment="1">
      <x:alignment horizontal="center" vertical="top"/>
    </x:xf>
    <x:xf numFmtId="0" fontId="0" fillId="6" borderId="0" xfId="0" applyFill="1" applyAlignment="1">
      <x:alignment horizontal="center" vertical="top"/>
    </x:xf>
    <x:xf numFmtId="0" fontId="14" fillId="6" borderId="0" xfId="0" applyFont="1" applyFill="1" applyAlignment="1">
      <x:alignment horizontal="center" vertical="top"/>
    </x:xf>
    <x:xf numFmtId="0" fontId="0" fillId="6" borderId="0" xfId="0" applyFill="1" applyAlignment="1">
      <x:alignment horizontal="center" vertical="center"/>
    </x:xf>
    <x:xf numFmtId="10" fontId="0" fillId="0" borderId="0" xfId="1" applyNumberFormat="1" applyFont="1"/>
    <x:xf numFmtId="0" fontId="0" fillId="4" borderId="0" xfId="0" applyFill="1"/>
    <x:xf numFmtId="164" fontId="0" fillId="9" borderId="0" xfId="0" applyNumberFormat="1" applyFill="1"/>
    <x:xf numFmtId="0" fontId="0" fillId="9" borderId="0" xfId="0" applyFill="1"/>
    <x:xf numFmtId="0" fontId="0" fillId="0" borderId="2" xfId="0" applyBorder="1" applyAlignment="1">
      <x:alignment horizontal="center" vertical="center"/>
    </x:xf>
    <x:xf numFmtId="164" fontId="0" fillId="0" borderId="1" xfId="0" applyNumberFormat="1" applyBorder="1" applyAlignment="1">
      <x:alignment horizontal="right" vertical="center"/>
    </x:xf>
    <x:xf numFmtId="0" fontId="0" fillId="0" borderId="12" xfId="0" applyBorder="1" applyAlignment="1">
      <x:alignment horizontal="center" vertical="center"/>
    </x:xf>
    <x:xf numFmtId="0" fontId="0" fillId="10" borderId="13" xfId="0" applyFill="1" applyBorder="1" applyAlignment="1">
      <x:alignment horizontal="center" vertical="center"/>
    </x:xf>
    <x:xf numFmtId="0" fontId="0" fillId="10" borderId="1" xfId="0" applyFill="1" applyBorder="1" applyAlignment="1">
      <x:alignment horizontal="center" vertical="center"/>
    </x:xf>
    <x:xf numFmtId="0" fontId="0" fillId="10" borderId="1" xfId="0" applyFill="1" applyBorder="1" applyAlignment="1">
      <x:alignment vertical="justify"/>
    </x:xf>
    <x:xf numFmtId="0" fontId="0" fillId="10" borderId="14" xfId="0" applyFill="1" applyBorder="1" applyAlignment="1">
      <x:alignment horizontal="center" vertical="justify"/>
    </x:xf>
    <x:xf numFmtId="164" fontId="0" fillId="9" borderId="0" xfId="0" applyNumberFormat="1" applyFill="1" applyAlignment="1">
      <x:alignment vertical="center"/>
    </x:xf>
    <x:xf numFmtId="164" fontId="0" fillId="9" borderId="18" xfId="0" applyNumberFormat="1" applyFill="1" applyBorder="1" applyAlignment="1">
      <x:alignment vertical="center"/>
    </x:xf>
    <x:xf numFmtId="0" fontId="0" fillId="9" borderId="19" xfId="0" applyFill="1" applyBorder="1" applyAlignment="1">
      <x:alignment horizontal="center" vertical="center"/>
    </x:xf>
    <x:xf numFmtId="0" fontId="0" fillId="9" borderId="19" xfId="0" applyFill="1" applyBorder="1" applyAlignment="1">
      <x:alignment horizontal="justify" vertical="top"/>
    </x:xf>
    <x:xf numFmtId="0" fontId="0" fillId="9" borderId="20" xfId="0" applyFill="1" applyBorder="1" applyAlignment="1">
      <x:alignment horizontal="center" vertical="center"/>
    </x:xf>
    <x:xf numFmtId="0" fontId="0" fillId="0" borderId="1" xfId="0" applyBorder="1" applyAlignment="1">
      <x:alignment vertical="justify"/>
    </x:xf>
    <x:xf numFmtId="0" fontId="0" fillId="9" borderId="0" xfId="0" applyFill="1" applyAlignment="1">
      <x:alignment horizontal="center" vertical="center"/>
    </x:xf>
    <x:xf numFmtId="164" fontId="0" fillId="9" borderId="1" xfId="0" applyNumberFormat="1" applyFill="1" applyBorder="1" applyAlignment="1">
      <x:alignment vertical="center"/>
    </x:xf>
    <x:xf numFmtId="0" fontId="0" fillId="9" borderId="1" xfId="0" applyFill="1" applyBorder="1" applyAlignment="1">
      <x:alignment vertical="justify"/>
    </x:xf>
    <x:xf numFmtId="0" fontId="0" fillId="2" borderId="1" xfId="0" applyFill="1" applyBorder="1" applyAlignment="1">
      <x:alignment horizontal="center" vertical="center"/>
    </x:xf>
    <x:xf numFmtId="0" fontId="0" fillId="2" borderId="1" xfId="0" applyFill="1" applyBorder="1" applyAlignment="1">
      <x:alignment vertical="justify"/>
    </x:xf>
    <x:xf numFmtId="0" fontId="10" fillId="0" borderId="1" xfId="0" applyFont="1" applyBorder="1" applyAlignment="1">
      <x:alignment vertical="justify"/>
    </x:xf>
    <x:xf numFmtId="164" fontId="0" fillId="4" borderId="0" xfId="0" applyNumberFormat="1" applyFill="1" applyAlignment="1">
      <x:alignment vertical="center"/>
    </x:xf>
    <x:xf numFmtId="164" fontId="0" fillId="4" borderId="1" xfId="0" applyNumberFormat="1" applyFill="1" applyBorder="1" applyAlignment="1">
      <x:alignment vertical="center"/>
    </x:xf>
    <x:xf numFmtId="0" fontId="0" fillId="4" borderId="1" xfId="0" applyFill="1" applyBorder="1" applyAlignment="1">
      <x:alignment horizontal="center" vertical="center"/>
    </x:xf>
    <x:xf numFmtId="0" fontId="0" fillId="4" borderId="1" xfId="0" applyFill="1" applyBorder="1" applyAlignment="1">
      <x:alignment vertical="justify"/>
    </x:xf>
    <x:xf numFmtId="0" fontId="10" fillId="0" borderId="1" xfId="0" applyFont="1" applyBorder="1" applyAlignment="1">
      <x:alignment vertical="distributed"/>
    </x:xf>
    <x:xf numFmtId="0" fontId="0" fillId="2" borderId="1" xfId="0" applyFill="1" applyBorder="1"/>
    <x:xf numFmtId="164" fontId="0" fillId="2" borderId="1" xfId="0" applyNumberFormat="1" applyFill="1" applyBorder="1" applyAlignment="1">
      <x:alignment vertical="center"/>
    </x:xf>
    <x:xf numFmtId="164" fontId="0" fillId="2" borderId="1" xfId="0" applyNumberFormat="1" applyFill="1" applyBorder="1" applyAlignment="1">
      <x:alignment vertical="justify"/>
    </x:xf>
    <x:xf numFmtId="0" fontId="0" fillId="0" borderId="0" xfId="0" applyAlignment="1">
      <x:alignment vertical="justify"/>
    </x:xf>
    <x:xf numFmtId="164" fontId="0" fillId="5" borderId="0" xfId="0" applyNumberFormat="1" applyFill="1" applyAlignment="1">
      <x:alignment vertical="center"/>
    </x:xf>
    <x:xf numFmtId="0" fontId="0" fillId="5" borderId="0" xfId="0" applyFill="1" applyAlignment="1">
      <x:alignment horizontal="center" vertical="center"/>
    </x:xf>
    <x:xf numFmtId="0" fontId="0" fillId="5" borderId="0" xfId="0" applyFill="1" applyAlignment="1">
      <x:alignment vertical="justify"/>
    </x:xf>
    <x:xf numFmtId="0" fontId="10" fillId="0" borderId="1" xfId="0" applyFont="1" applyBorder="1" applyAlignment="1">
      <x:alignment vertical="justify" wrapText="1"/>
    </x:xf>
    <x:xf numFmtId="0" fontId="10" fillId="2" borderId="1" xfId="0" applyFont="1" applyFill="1" applyBorder="1" applyAlignment="1">
      <x:alignment vertical="justify"/>
    </x:xf>
    <x:xf numFmtId="0" fontId="0" fillId="0" borderId="1" xfId="0" applyBorder="1" applyAlignment="1">
      <x:alignment vertical="justify" wrapText="1"/>
    </x:xf>
    <x:xf numFmtId="44" fontId="0" fillId="0" borderId="1" xfId="2" applyFont="1" applyBorder="1" applyAlignment="1">
      <x:alignment horizontal="center" vertical="center"/>
    </x:xf>
    <x:xf numFmtId="0" fontId="0" fillId="10" borderId="1" xfId="0" applyFill="1" applyBorder="1" applyAlignment="1">
      <x:alignment horizontal="justify" vertical="center"/>
    </x:xf>
    <x:xf numFmtId="0" fontId="0" fillId="10" borderId="10" xfId="0" applyFill="1" applyBorder="1" applyAlignment="1">
      <x:alignment horizontal="justify" vertical="center"/>
    </x:xf>
    <x:xf numFmtId="0" fontId="0" fillId="10" borderId="10" xfId="0" applyFill="1" applyBorder="1" applyAlignment="1">
      <x:alignment horizontal="center" vertical="center"/>
    </x:xf>
    <x:xf numFmtId="0" fontId="0" fillId="10" borderId="10" xfId="0" applyFill="1" applyBorder="1" applyAlignment="1">
      <x:alignment vertical="justify"/>
    </x:xf>
    <x:xf numFmtId="0" fontId="5" fillId="0" borderId="1" xfId="0" applyFont="1" applyBorder="1" applyAlignment="1">
      <x:alignment horizontal="left" vertical="top"/>
    </x:xf>
    <x:xf numFmtId="0" fontId="4" fillId="0" borderId="1" xfId="0" applyFont="1" applyBorder="1" applyAlignment="1">
      <x:alignment horizontal="left" vertical="top"/>
    </x:xf>
    <x:xf numFmtId="0" fontId="2" fillId="5" borderId="1" xfId="0" applyFont="1" applyFill="1" applyBorder="1" applyAlignment="1">
      <x:alignment horizontal="center"/>
    </x:xf>
    <x:xf numFmtId="0" fontId="0" fillId="7" borderId="1" xfId="0" applyFill="1" applyBorder="1" applyAlignment="1">
      <x:alignment horizontal="left"/>
    </x:xf>
    <x:xf numFmtId="0" fontId="0" fillId="3" borderId="21" xfId="0" applyFill="1" applyBorder="1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0" fillId="3" borderId="11" xfId="0" applyFill="1" applyBorder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3" fillId="3" borderId="11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0" fillId="10" borderId="14" xfId="0" applyFill="1" applyBorder="1" applyAlignment="1">
      <x:alignment horizontal="center" vertical="justify"/>
    </x:xf>
    <x:xf numFmtId="0" fontId="0" fillId="10" borderId="12" xfId="0" applyFill="1" applyBorder="1" applyAlignment="1">
      <x:alignment horizontal="center" vertical="justify"/>
    </x:xf>
    <x:xf numFmtId="0" fontId="0" fillId="0" borderId="14" xfId="0" applyBorder="1" applyAlignment="1">
      <x:alignment horizontal="justify" vertical="top"/>
    </x:xf>
    <x:xf numFmtId="0" fontId="0" fillId="0" borderId="12" xfId="0" applyBorder="1" applyAlignment="1">
      <x:alignment horizontal="justify" vertical="top"/>
    </x:xf>
    <x:xf numFmtId="0" fontId="0" fillId="0" borderId="17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5" xfId="0" applyBorder="1" applyAlignment="1">
      <x:alignment horizontal="center" vertic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 applyAlignment="1">
      <x:alignment horizontal="center" vertical="center"/>
    </x:xf>
    <x:xf numFmtId="10" fontId="0" fillId="0" borderId="22" xfId="0" applyNumberFormat="1" applyFont="1" applyFill="1" applyBorder="1"/>
    <x:xf numFmtId="164" fontId="0" fillId="4" borderId="22" xfId="0" applyNumberFormat="1" applyFont="1" applyFill="1" applyBorder="1"/>
    <x:xf numFmtId="0" fontId="0" fillId="0" borderId="22" xfId="0" applyNumberFormat="1" applyFont="1" applyFill="1" applyBorder="1" applyAlignment="1">
      <x:alignment horizontal="center" vertical="center"/>
    </x:xf>
    <x:xf numFmtId="0" fontId="8" fillId="8" borderId="24" xfId="0" applyNumberFormat="1" applyFont="1" applyFill="1" applyBorder="1" applyAlignment="1">
      <x:alignment horizontal="center" vertical="center" wrapText="1"/>
    </x:xf>
    <x:xf numFmtId="0" fontId="8" fillId="8" borderId="25" xfId="0" applyNumberFormat="1" applyFont="1" applyFill="1" applyBorder="1" applyAlignment="1">
      <x:alignment horizontal="center" vertical="center" wrapText="1"/>
    </x:xf>
    <x:xf numFmtId="0" fontId="7" fillId="0" borderId="22" xfId="0" applyNumberFormat="1" applyFont="1" applyFill="1" applyBorder="1"/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7" xfId="0" applyNumberFormat="1" applyFont="1" applyFill="1" applyBorder="1" applyAlignment="1">
      <x:alignment horizontal="center" vertical="center"/>
    </x:xf>
    <x:xf numFmtId="0" fontId="9" fillId="0" borderId="27" xfId="0" applyNumberFormat="1" applyFont="1" applyFill="1" applyBorder="1" applyAlignment="1">
      <x:alignment vertical="center" wrapText="1"/>
    </x:xf>
    <x:xf numFmtId="0" fontId="9" fillId="0" borderId="27" xfId="0" applyNumberFormat="1" applyFont="1" applyFill="1" applyBorder="1" applyAlignment="1">
      <x:alignment vertical="center"/>
    </x:xf>
    <x:xf numFmtId="1" fontId="9" fillId="0" borderId="27" xfId="0" applyNumberFormat="1" applyFont="1" applyFill="1" applyBorder="1" applyAlignment="1">
      <x:alignment horizontal="center" vertical="center"/>
    </x:xf>
    <x:xf numFmtId="165" fontId="9" fillId="0" borderId="27" xfId="0" applyNumberFormat="1" applyFont="1" applyFill="1" applyBorder="1" applyAlignment="1">
      <x:alignment vertical="center"/>
    </x:xf>
    <x:xf numFmtId="166" fontId="9" fillId="0" borderId="27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2" xfId="0" applyNumberFormat="1" applyFont="1" applyFill="1" applyBorder="1" applyAlignment="1">
      <x:alignment horizontal="center" vertical="center"/>
    </x:xf>
    <x:xf numFmtId="0" fontId="9" fillId="0" borderId="22" xfId="0" applyNumberFormat="1" applyFont="1" applyFill="1" applyBorder="1" applyAlignment="1">
      <x:alignment vertical="center" wrapText="1"/>
    </x:xf>
    <x:xf numFmtId="0" fontId="9" fillId="0" borderId="22" xfId="0" applyNumberFormat="1" applyFont="1" applyFill="1" applyBorder="1" applyAlignment="1">
      <x:alignment vertical="center"/>
    </x:xf>
    <x:xf numFmtId="1" fontId="9" fillId="0" borderId="22" xfId="0" applyNumberFormat="1" applyFont="1" applyFill="1" applyBorder="1" applyAlignment="1">
      <x:alignment horizontal="center" vertical="center"/>
    </x:xf>
    <x:xf numFmtId="165" fontId="9" fillId="0" borderId="22" xfId="0" applyNumberFormat="1" applyFont="1" applyFill="1" applyBorder="1" applyAlignment="1">
      <x:alignment vertical="center"/>
    </x:xf>
    <x:xf numFmtId="166" fontId="9" fillId="0" borderId="22" xfId="0" applyNumberFormat="1" applyFont="1" applyFill="1" applyBorder="1" applyAlignment="1">
      <x:alignment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0" xfId="0" applyNumberFormat="1" applyFont="1" applyFill="1" applyBorder="1" applyAlignment="1">
      <x:alignment vertical="center" wrapText="1"/>
    </x:xf>
    <x:xf numFmtId="0" fontId="9" fillId="0" borderId="30" xfId="0" applyNumberFormat="1" applyFont="1" applyFill="1" applyBorder="1" applyAlignment="1">
      <x:alignment vertical="center"/>
    </x:xf>
    <x:xf numFmtId="1" fontId="9" fillId="0" borderId="30" xfId="0" applyNumberFormat="1" applyFont="1" applyFill="1" applyBorder="1" applyAlignment="1">
      <x:alignment horizontal="center" vertical="center"/>
    </x:xf>
    <x:xf numFmtId="165" fontId="9" fillId="0" borderId="30" xfId="0" applyNumberFormat="1" applyFont="1" applyFill="1" applyBorder="1" applyAlignment="1">
      <x:alignment vertical="center"/>
    </x:xf>
    <x:xf numFmtId="166" fontId="9" fillId="0" borderId="30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/>
    <x:xf numFmtId="0" fontId="0" fillId="9" borderId="23" xfId="0" applyNumberFormat="1" applyFont="1" applyFill="1" applyBorder="1" applyAlignment="1">
      <x:alignment horizontal="center" vertical="center"/>
    </x:xf>
    <x:xf numFmtId="0" fontId="10" fillId="0" borderId="23" xfId="0" applyNumberFormat="1" applyFont="1" applyFill="1" applyBorder="1" applyAlignment="1">
      <x:alignment horizontal="justify" vertical="top"/>
    </x:xf>
    <x:xf numFmtId="164" fontId="0" fillId="0" borderId="23" xfId="0" applyNumberFormat="1" applyFont="1" applyFill="1" applyBorder="1" applyAlignment="1">
      <x:alignment vertical="center"/>
    </x:xf>
    <x:xf numFmtId="164" fontId="0" fillId="0" borderId="22" xfId="0" applyNumberFormat="1" applyFont="1" applyFill="1" applyBorder="1" applyAlignment="1">
      <x:alignment vertical="center"/>
    </x:xf>
    <x:xf numFmtId="164" fontId="0" fillId="0" borderId="23" xfId="0" applyNumberFormat="1" applyFont="1" applyFill="1" applyBorder="1"/>
    <x:xf numFmtId="0" fontId="12" fillId="8" borderId="22" xfId="0" applyNumberFormat="1" applyFont="1" applyFill="1" applyBorder="1" applyAlignment="1">
      <x:alignment horizontal="center" vertical="center" wrapText="1"/>
    </x:xf>
    <x:xf numFmtId="0" fontId="13" fillId="0" borderId="22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horizontal="left" vertical="top"/>
    </x:xf>
    <x:xf numFmtId="164" fontId="10" fillId="0" borderId="23" xfId="0" applyNumberFormat="1" applyFont="1" applyFill="1" applyBorder="1" applyAlignment="1">
      <x:alignment horizontal="left" vertical="top"/>
    </x:xf>
    <x:xf numFmtId="0" fontId="14" fillId="0" borderId="23" xfId="0" applyNumberFormat="1" applyFont="1" applyFill="1" applyBorder="1" applyAlignment="1">
      <x:alignment horizontal="left" vertical="top"/>
    </x:xf>
    <x:xf numFmtId="0" fontId="14" fillId="0" borderId="23" xfId="0" applyNumberFormat="1" applyFont="1" applyFill="1" applyBorder="1" applyAlignment="1">
      <x:alignment horizontal="center" vertical="top"/>
    </x:xf>
    <x:xf numFmtId="164" fontId="0" fillId="0" borderId="22" xfId="0" applyNumberFormat="1" applyFont="1" applyFill="1" applyBorder="1" applyAlignment="1">
      <x:alignment horizontal="left" vertical="top"/>
    </x:xf>
    <x:xf numFmtId="8" fontId="0" fillId="0" borderId="22" xfId="0" applyNumberFormat="1" applyFont="1" applyFill="1" applyBorder="1" applyAlignment="1">
      <x:alignment horizontal="center" vertical="center"/>
    </x:xf>
    <x:xf numFmtId="8" fontId="0" fillId="0" borderId="22" xfId="0" applyNumberFormat="1" applyFont="1" applyFill="1" applyBorder="1" applyAlignment="1">
      <x:alignment horizontal="left" vertical="top"/>
    </x:xf>
    <x:xf numFmtId="8" fontId="10" fillId="0" borderId="22" xfId="0" applyNumberFormat="1" applyFont="1" applyFill="1" applyBorder="1" applyAlignment="1">
      <x:alignment horizontal="center" vertical="center"/>
    </x:xf>
    <x:xf numFmtId="167" fontId="0" fillId="0" borderId="22" xfId="0" applyNumberFormat="1" applyFont="1" applyFill="1" applyBorder="1" applyAlignment="1">
      <x:alignment horizontal="center" vertical="center"/>
    </x:xf>
    <x:xf numFmtId="8" fontId="15" fillId="0" borderId="22" xfId="0" applyNumberFormat="1" applyFont="1" applyFill="1" applyBorder="1" applyAlignment="1">
      <x:alignment horizontal="center" vertical="center"/>
    </x:xf>
    <x:xf numFmtId="164" fontId="15" fillId="0" borderId="22" xfId="0" applyNumberFormat="1" applyFont="1" applyFill="1" applyBorder="1" applyAlignment="1">
      <x:alignment horizontal="center" vertical="center"/>
    </x:xf>
    <x:xf numFmtId="0" fontId="16" fillId="0" borderId="22" xfId="0" applyNumberFormat="1" applyFont="1" applyFill="1" applyBorder="1" applyAlignment="1">
      <x:alignment horizontal="left" vertical="top" wrapText="1"/>
    </x:xf>
    <x:xf numFmtId="10" fontId="10" fillId="0" borderId="22" xfId="0" applyNumberFormat="1" applyFont="1" applyFill="1" applyBorder="1" applyAlignment="1">
      <x:alignment horizontal="center" vertical="center"/>
    </x:xf>
    <x:xf numFmtId="10" fontId="0" fillId="0" borderId="22" xfId="0" applyNumberFormat="1" applyFont="1" applyFill="1" applyBorder="1" applyAlignment="1">
      <x:alignment horizontal="center" vertical="center"/>
    </x:xf>
    <x:xf numFmtId="9" fontId="0" fillId="0" borderId="22" xfId="0" applyNumberFormat="1" applyFont="1" applyFill="1" applyBorder="1" applyAlignment="1">
      <x:alignment horizontal="center" vertical="center"/>
    </x:xf>
    <x:xf numFmtId="0" fontId="16" fillId="0" borderId="22" xfId="0" applyNumberFormat="1" applyFont="1" applyFill="1" applyBorder="1" applyAlignment="1">
      <x:alignment horizontal="left" vertical="top"/>
    </x:xf>
    <x:xf numFmtId="0" fontId="15" fillId="0" borderId="22" xfId="0" applyNumberFormat="1" applyFont="1" applyFill="1" applyBorder="1" applyAlignment="1">
      <x:alignment horizontal="left" vertical="top"/>
    </x:xf>
    <x:xf numFmtId="0" fontId="17" fillId="6" borderId="22" xfId="0" applyNumberFormat="1" applyFont="1" applyFill="1" applyBorder="1" applyAlignment="1">
      <x:alignment horizontal="justify" vertical="top"/>
    </x:xf>
    <x:xf numFmtId="0" fontId="17" fillId="6" borderId="22" xfId="0" applyNumberFormat="1" applyFont="1" applyFill="1" applyBorder="1" applyAlignment="1">
      <x:alignment horizontal="center" vertical="top"/>
    </x:xf>
    <x:xf numFmtId="0" fontId="0" fillId="6" borderId="22" xfId="0" applyNumberFormat="1" applyFont="1" applyFill="1" applyBorder="1" applyAlignment="1">
      <x:alignment horizontal="center" vertical="top"/>
    </x:xf>
    <x:xf numFmtId="0" fontId="14" fillId="6" borderId="22" xfId="0" applyNumberFormat="1" applyFont="1" applyFill="1" applyBorder="1" applyAlignment="1">
      <x:alignment horizontal="center" vertical="top"/>
    </x:xf>
    <x:xf numFmtId="0" fontId="0" fillId="6" borderId="22" xfId="0" applyNumberFormat="1" applyFont="1" applyFill="1" applyBorder="1" applyAlignment="1">
      <x:alignment horizontal="center" vertical="center"/>
    </x:xf>
    <x:xf numFmtId="0" fontId="0" fillId="4" borderId="22" xfId="0" applyNumberFormat="1" applyFont="1" applyFill="1" applyBorder="1"/>
    <x:xf numFmtId="164" fontId="0" fillId="9" borderId="22" xfId="0" applyNumberFormat="1" applyFont="1" applyFill="1" applyBorder="1"/>
    <x:xf numFmtId="0" fontId="0" fillId="9" borderId="22" xfId="0" applyNumberFormat="1" applyFont="1" applyFill="1" applyBorder="1"/>
    <x:xf numFmtId="0" fontId="0" fillId="0" borderId="31" xfId="0" applyNumberFormat="1" applyFont="1" applyFill="1" applyBorder="1" applyAlignment="1">
      <x:alignment horizontal="center" vertical="center"/>
    </x:xf>
    <x:xf numFmtId="164" fontId="0" fillId="0" borderId="23" xfId="0" applyNumberFormat="1" applyFont="1" applyFill="1" applyBorder="1" applyAlignment="1">
      <x:alignment horizontal="right" vertical="center"/>
    </x:xf>
    <x:xf numFmtId="0" fontId="0" fillId="0" borderId="32" xfId="0" applyNumberFormat="1" applyFont="1" applyFill="1" applyBorder="1" applyAlignment="1">
      <x:alignment horizontal="center" vertical="center"/>
    </x:xf>
    <x:xf numFmtId="0" fontId="0" fillId="10" borderId="33" xfId="0" applyNumberFormat="1" applyFont="1" applyFill="1" applyBorder="1" applyAlignment="1">
      <x:alignment horizontal="center" vertical="center"/>
    </x:xf>
    <x:xf numFmtId="0" fontId="0" fillId="10" borderId="23" xfId="0" applyNumberFormat="1" applyFont="1" applyFill="1" applyBorder="1" applyAlignment="1">
      <x:alignment horizontal="center" vertical="center"/>
    </x:xf>
    <x:xf numFmtId="0" fontId="0" fillId="10" borderId="23" xfId="0" applyNumberFormat="1" applyFont="1" applyFill="1" applyBorder="1" applyAlignment="1">
      <x:alignment vertical="justify"/>
    </x:xf>
    <x:xf numFmtId="0" fontId="0" fillId="10" borderId="34" xfId="0" applyNumberFormat="1" applyFont="1" applyFill="1" applyBorder="1" applyAlignment="1">
      <x:alignment horizontal="center" vertical="justify"/>
    </x:xf>
    <x:xf numFmtId="164" fontId="0" fillId="9" borderId="22" xfId="0" applyNumberFormat="1" applyFont="1" applyFill="1" applyBorder="1" applyAlignment="1">
      <x:alignment vertical="center"/>
    </x:xf>
    <x:xf numFmtId="164" fontId="0" fillId="9" borderId="35" xfId="0" applyNumberFormat="1" applyFont="1" applyFill="1" applyBorder="1" applyAlignment="1">
      <x:alignment vertical="center"/>
    </x:xf>
    <x:xf numFmtId="0" fontId="0" fillId="9" borderId="36" xfId="0" applyNumberFormat="1" applyFont="1" applyFill="1" applyBorder="1" applyAlignment="1">
      <x:alignment horizontal="center" vertical="center"/>
    </x:xf>
    <x:xf numFmtId="0" fontId="0" fillId="9" borderId="36" xfId="0" applyNumberFormat="1" applyFont="1" applyFill="1" applyBorder="1" applyAlignment="1">
      <x:alignment horizontal="justify" vertical="top"/>
    </x:xf>
    <x:xf numFmtId="0" fontId="0" fillId="9" borderId="37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vertical="justify"/>
    </x:xf>
    <x:xf numFmtId="0" fontId="0" fillId="9" borderId="22" xfId="0" applyNumberFormat="1" applyFont="1" applyFill="1" applyBorder="1" applyAlignment="1">
      <x:alignment horizontal="center" vertical="center"/>
    </x:xf>
    <x:xf numFmtId="164" fontId="0" fillId="9" borderId="23" xfId="0" applyNumberFormat="1" applyFont="1" applyFill="1" applyBorder="1" applyAlignment="1">
      <x:alignment vertical="center"/>
    </x:xf>
    <x:xf numFmtId="0" fontId="0" fillId="9" borderId="23" xfId="0" applyNumberFormat="1" applyFont="1" applyFill="1" applyBorder="1" applyAlignment="1">
      <x:alignment vertical="justify"/>
    </x:xf>
    <x:xf numFmtId="0" fontId="0" fillId="2" borderId="23" xfId="0" applyNumberFormat="1" applyFont="1" applyFill="1" applyBorder="1" applyAlignment="1">
      <x:alignment horizontal="center" vertical="center"/>
    </x:xf>
    <x:xf numFmtId="0" fontId="0" fillId="2" borderId="23" xfId="0" applyNumberFormat="1" applyFont="1" applyFill="1" applyBorder="1" applyAlignment="1">
      <x:alignment vertical="justify"/>
    </x:xf>
    <x:xf numFmtId="0" fontId="10" fillId="0" borderId="23" xfId="0" applyNumberFormat="1" applyFont="1" applyFill="1" applyBorder="1" applyAlignment="1">
      <x:alignment vertical="justify"/>
    </x:xf>
    <x:xf numFmtId="164" fontId="0" fillId="4" borderId="22" xfId="0" applyNumberFormat="1" applyFont="1" applyFill="1" applyBorder="1" applyAlignment="1">
      <x:alignment vertical="center"/>
    </x:xf>
    <x:xf numFmtId="164" fontId="0" fillId="4" borderId="23" xfId="0" applyNumberFormat="1" applyFont="1" applyFill="1" applyBorder="1" applyAlignment="1">
      <x:alignment vertical="center"/>
    </x:xf>
    <x:xf numFmtId="0" fontId="0" fillId="4" borderId="23" xfId="0" applyNumberFormat="1" applyFont="1" applyFill="1" applyBorder="1" applyAlignment="1">
      <x:alignment horizontal="center" vertical="center"/>
    </x:xf>
    <x:xf numFmtId="0" fontId="0" fillId="4" borderId="23" xfId="0" applyNumberFormat="1" applyFont="1" applyFill="1" applyBorder="1" applyAlignment="1">
      <x:alignment vertical="justify"/>
    </x:xf>
    <x:xf numFmtId="0" fontId="10" fillId="0" borderId="23" xfId="0" applyNumberFormat="1" applyFont="1" applyFill="1" applyBorder="1" applyAlignment="1">
      <x:alignment vertical="distributed"/>
    </x:xf>
    <x:xf numFmtId="0" fontId="0" fillId="2" borderId="23" xfId="0" applyNumberFormat="1" applyFont="1" applyFill="1" applyBorder="1"/>
    <x:xf numFmtId="164" fontId="0" fillId="2" borderId="23" xfId="0" applyNumberFormat="1" applyFont="1" applyFill="1" applyBorder="1" applyAlignment="1">
      <x:alignment vertical="center"/>
    </x:xf>
    <x:xf numFmtId="164" fontId="0" fillId="2" borderId="23" xfId="0" applyNumberFormat="1" applyFont="1" applyFill="1" applyBorder="1" applyAlignment="1">
      <x:alignment vertical="justify"/>
    </x:xf>
    <x:xf numFmtId="0" fontId="0" fillId="0" borderId="22" xfId="0" applyNumberFormat="1" applyFont="1" applyFill="1" applyBorder="1" applyAlignment="1">
      <x:alignment vertical="justify"/>
    </x:xf>
    <x:xf numFmtId="164" fontId="0" fillId="5" borderId="22" xfId="0" applyNumberFormat="1" applyFont="1" applyFill="1" applyBorder="1" applyAlignment="1">
      <x:alignment vertical="center"/>
    </x:xf>
    <x:xf numFmtId="0" fontId="0" fillId="5" borderId="22" xfId="0" applyNumberFormat="1" applyFont="1" applyFill="1" applyBorder="1" applyAlignment="1">
      <x:alignment horizontal="center" vertical="center"/>
    </x:xf>
    <x:xf numFmtId="0" fontId="0" fillId="5" borderId="22" xfId="0" applyNumberFormat="1" applyFont="1" applyFill="1" applyBorder="1" applyAlignment="1">
      <x:alignment vertical="justify"/>
    </x:xf>
    <x:xf numFmtId="0" fontId="10" fillId="0" borderId="23" xfId="0" applyNumberFormat="1" applyFont="1" applyFill="1" applyBorder="1" applyAlignment="1">
      <x:alignment vertical="justify" wrapText="1"/>
    </x:xf>
    <x:xf numFmtId="0" fontId="10" fillId="2" borderId="23" xfId="0" applyNumberFormat="1" applyFont="1" applyFill="1" applyBorder="1" applyAlignment="1">
      <x:alignment vertical="justify"/>
    </x:xf>
    <x:xf numFmtId="0" fontId="0" fillId="0" borderId="23" xfId="0" applyNumberFormat="1" applyFont="1" applyFill="1" applyBorder="1" applyAlignment="1">
      <x:alignment vertical="justify" wrapText="1"/>
    </x:xf>
    <x:xf numFmtId="44" fontId="0" fillId="0" borderId="23" xfId="0" applyNumberFormat="1" applyFont="1" applyFill="1" applyBorder="1" applyAlignment="1">
      <x:alignment horizontal="center" vertical="center"/>
    </x:xf>
    <x:xf numFmtId="0" fontId="0" fillId="10" borderId="23" xfId="0" applyNumberFormat="1" applyFont="1" applyFill="1" applyBorder="1" applyAlignment="1">
      <x:alignment horizontal="justify" vertical="center"/>
    </x:xf>
    <x:xf numFmtId="0" fontId="0" fillId="10" borderId="38" xfId="0" applyNumberFormat="1" applyFont="1" applyFill="1" applyBorder="1" applyAlignment="1">
      <x:alignment horizontal="justify" vertical="center"/>
    </x:xf>
    <x:xf numFmtId="0" fontId="0" fillId="10" borderId="38" xfId="0" applyNumberFormat="1" applyFont="1" applyFill="1" applyBorder="1" applyAlignment="1">
      <x:alignment horizontal="center" vertical="center"/>
    </x:xf>
    <x:xf numFmtId="0" fontId="0" fillId="10" borderId="38" xfId="0" applyNumberFormat="1" applyFont="1" applyFill="1" applyBorder="1" applyAlignment="1">
      <x:alignment vertical="justify"/>
    </x:xf>
    <x:xf numFmtId="0" fontId="5" fillId="0" borderId="23" xfId="0" applyNumberFormat="1" applyFont="1" applyFill="1" applyBorder="1" applyAlignment="1">
      <x:alignment horizontal="left" vertical="top"/>
    </x:xf>
    <x:xf numFmtId="0" fontId="4" fillId="0" borderId="23" xfId="0" applyNumberFormat="1" applyFont="1" applyFill="1" applyBorder="1" applyAlignment="1">
      <x:alignment horizontal="left" vertical="top"/>
    </x:xf>
    <x:xf numFmtId="0" fontId="2" fillId="5" borderId="23" xfId="0" applyNumberFormat="1" applyFont="1" applyFill="1" applyBorder="1" applyAlignment="1">
      <x:alignment horizontal="center"/>
    </x:xf>
    <x:xf numFmtId="0" fontId="0" fillId="7" borderId="23" xfId="0" applyNumberFormat="1" applyFont="1" applyFill="1" applyBorder="1" applyAlignment="1">
      <x:alignment horizontal="left"/>
    </x:xf>
    <x:xf numFmtId="0" fontId="0" fillId="3" borderId="39" xfId="0" applyNumberFormat="1" applyFont="1" applyFill="1" applyBorder="1" applyAlignment="1">
      <x:alignment horizontal="center" vertical="center"/>
    </x:xf>
    <x:xf numFmtId="0" fontId="0" fillId="3" borderId="22" xfId="0" applyNumberFormat="1" applyFont="1" applyFill="1" applyBorder="1" applyAlignment="1">
      <x:alignment horizontal="center" vertical="center"/>
    </x:xf>
    <x:xf numFmtId="0" fontId="0" fillId="3" borderId="40" xfId="0" applyNumberFormat="1" applyFont="1" applyFill="1" applyBorder="1" applyAlignment="1">
      <x:alignment horizontal="center" vertical="center"/>
    </x:xf>
    <x:xf numFmtId="0" fontId="0" fillId="3" borderId="31" xfId="0" applyNumberFormat="1" applyFont="1" applyFill="1" applyBorder="1" applyAlignment="1">
      <x:alignment horizontal="center" vertical="center"/>
    </x:xf>
    <x:xf numFmtId="0" fontId="3" fillId="3" borderId="40" xfId="0" applyNumberFormat="1" applyFont="1" applyFill="1" applyBorder="1" applyAlignment="1">
      <x:alignment horizontal="center" vertical="center"/>
    </x:xf>
    <x:xf numFmtId="0" fontId="3" fillId="3" borderId="31" xfId="0" applyNumberFormat="1" applyFont="1" applyFill="1" applyBorder="1" applyAlignment="1">
      <x:alignment horizontal="center" vertical="center"/>
    </x:xf>
    <x:xf numFmtId="0" fontId="0" fillId="10" borderId="32" xfId="0" applyNumberFormat="1" applyFont="1" applyFill="1" applyBorder="1" applyAlignment="1">
      <x:alignment horizontal="center" vertical="justify"/>
    </x:xf>
    <x:xf numFmtId="0" fontId="0" fillId="0" borderId="34" xfId="0" applyNumberFormat="1" applyFont="1" applyFill="1" applyBorder="1" applyAlignment="1">
      <x:alignment horizontal="justify" vertical="top"/>
    </x:xf>
    <x:xf numFmtId="0" fontId="0" fillId="0" borderId="32" xfId="0" applyNumberFormat="1" applyFont="1" applyFill="1" applyBorder="1" applyAlignment="1">
      <x:alignment horizontal="justify" vertical="top"/>
    </x:xf>
    <x:xf numFmtId="0" fontId="0" fillId="0" borderId="41" xfId="0" applyNumberFormat="1" applyFont="1" applyFill="1" applyBorder="1" applyAlignment="1">
      <x:alignment horizontal="center" vertical="center"/>
    </x:xf>
    <x:xf numFmtId="0" fontId="0" fillId="0" borderId="42" xfId="0" applyNumberFormat="1" applyFont="1" applyFill="1" applyBorder="1" applyAlignment="1">
      <x:alignment horizontal="center" vertical="center"/>
    </x:xf>
    <x:xf numFmtId="0" fontId="0" fillId="0" borderId="4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horizontal="center" wrapText="1"/>
    </x:xf>
    <x:xf numFmtId="0" fontId="19" fillId="11" borderId="0" xfId="0" applyNumberFormat="1" applyFont="1" applyFill="1" applyBorder="1" applyAlignment="1">
      <x:alignment horizontal="center" vertical="center" wrapText="1"/>
    </x:xf>
    <x:xf numFmtId="0" fontId="0" fillId="11" borderId="22" xfId="0" applyNumberFormat="1" applyFont="1" applyFill="1" applyBorder="1"/>
    <x:xf numFmtId="0" fontId="19" fillId="11" borderId="22" xfId="0" applyNumberFormat="1" applyFont="1" applyFill="1" applyBorder="1"/>
    <x:xf numFmtId="0" fontId="19" fillId="11" borderId="22" xfId="0" applyNumberFormat="1" applyFont="1" applyFill="1" applyBorder="1" applyAlignment="1">
      <x:alignment wrapText="1"/>
    </x:xf>
    <x:xf numFmtId="0" fontId="19" fillId="11" borderId="22" xfId="0" applyNumberFormat="1" applyFont="1" applyFill="1" applyBorder="1" applyAlignment="1">
      <x:alignment horizontal="center" wrapText="1"/>
    </x:xf>
    <x:xf numFmtId="0" fontId="19" fillId="11" borderId="2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9" fillId="11" borderId="22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0" fontId="0" fillId="5" borderId="0" xfId="0" applyNumberFormat="1" applyFont="1" applyFill="1" applyBorder="1" applyAlignment="1">
      <x:alignment vertical="center"/>
    </x:xf>
  </x:cellXfs>
  <x:cellStyles count="7">
    <x:cellStyle name="Moeda" xfId="2"/>
    <x:cellStyle name="Moeda 2" xfId="3"/>
    <x:cellStyle name="Moeda 2 2" xfId="5"/>
    <x:cellStyle name="Moeda 3" xfId="4"/>
    <x:cellStyle name="Normal" xfId="0"/>
    <x:cellStyle name="Normal 2" xfId="6"/>
    <x:cellStyle name="Porcentagem" xfId="1"/>
  </x:cellStyles>
  <x:dxfs count="1"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72ee244894d56" /><Relationship Type="http://schemas.openxmlformats.org/officeDocument/2006/relationships/theme" Target="/xl/theme/theme1.xml" Id="R09edb09b605d4a98" /><Relationship Type="http://schemas.openxmlformats.org/officeDocument/2006/relationships/sharedStrings" Target="/xl/sharedStrings.xml" Id="R7e986bc127674e8e" /><Relationship Type="http://schemas.openxmlformats.org/officeDocument/2006/relationships/worksheet" Target="/xl/worksheets/sheet1.xml" Id="Rd7d366d86fc54059" /><Relationship Type="http://schemas.openxmlformats.org/officeDocument/2006/relationships/worksheet" Target="/xl/worksheets/sheet2.xml" Id="R55c54c77513046a2" /><Relationship Type="http://schemas.openxmlformats.org/officeDocument/2006/relationships/worksheet" Target="/xl/worksheets/sheet3.xml" Id="R7e6d07de072d4426" /><Relationship Type="http://schemas.microsoft.com/office/2017/10/relationships/person" Target="/xl/persons/person.xml" Id="R456f2eff33de47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f8276c639d94c9d" /><Relationship Type="http://schemas.openxmlformats.org/officeDocument/2006/relationships/image" Target="/xl/media/image2.png" Id="R7be82f5627374482" /><Relationship Type="http://schemas.openxmlformats.org/officeDocument/2006/relationships/image" Target="/xl/media/image3.png" Id="R91c7e1d5926a4029" /><Relationship Type="http://schemas.openxmlformats.org/officeDocument/2006/relationships/image" Target="/xl/media/image4.png" Id="R52f0ca9da1a24870" /><Relationship Type="http://schemas.openxmlformats.org/officeDocument/2006/relationships/image" Target="/xl/media/image5.png" Id="R93f7d568aa634527" /><Relationship Type="http://schemas.openxmlformats.org/officeDocument/2006/relationships/image" Target="/xl/media/image6.png" Id="R1c147b4b604f4822" /><Relationship Type="http://schemas.openxmlformats.org/officeDocument/2006/relationships/image" Target="/xl/media/image7.png" Id="R2c2bea4dce1e4057" /><Relationship Type="http://schemas.openxmlformats.org/officeDocument/2006/relationships/image" Target="/xl/media/image8.png" Id="R6f68994edd7a40d2" /></Relationships>
</file>

<file path=xl/drawings/drawing1.xml><?xml version="1.0" encoding="utf-8"?>
<xdr:wsDr xmlns:xdr="http://schemas.openxmlformats.org/drawingml/2006/spreadsheetDrawing">
  <xdr:oneCellAnchor>
    <xdr:from>
      <xdr:col>9</xdr:col>
      <xdr:colOff>520700</xdr:colOff>
      <xdr:row>1</xdr:row>
      <xdr:rowOff>4416</xdr:rowOff>
    </xdr:from>
    <xdr:ext cx="4328472" cy="3396791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8276c639d94c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191267</xdr:colOff>
      <xdr:row>20</xdr:row>
      <xdr:rowOff>152400</xdr:rowOff>
    </xdr:from>
    <xdr:ext cx="4025134" cy="219262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e82f56273744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208199</xdr:colOff>
      <xdr:row>36</xdr:row>
      <xdr:rowOff>107950</xdr:rowOff>
    </xdr:from>
    <xdr:ext cx="4044010" cy="1629212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c7e1d5926a40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247650</xdr:colOff>
      <xdr:row>48</xdr:row>
      <xdr:rowOff>0</xdr:rowOff>
    </xdr:from>
    <xdr:ext cx="3978015" cy="1883187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f0ca9da1a248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234950</xdr:colOff>
      <xdr:row>58</xdr:row>
      <xdr:rowOff>69361</xdr:rowOff>
    </xdr:from>
    <xdr:ext cx="4042656" cy="2686065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f7d568aa6345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203200</xdr:colOff>
      <xdr:row>73</xdr:row>
      <xdr:rowOff>61711</xdr:rowOff>
    </xdr:from>
    <xdr:ext cx="4014144" cy="2491574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147b4b604f48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203200</xdr:colOff>
      <xdr:row>86</xdr:row>
      <xdr:rowOff>171343</xdr:rowOff>
    </xdr:from>
    <xdr:ext cx="4087176" cy="2524818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2bea4dce1e40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152400</xdr:colOff>
      <xdr:row>100</xdr:row>
      <xdr:rowOff>147320</xdr:rowOff>
    </xdr:from>
    <xdr:ext cx="4179324" cy="837135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68994edd7a40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Rodrigo" id="{DB0A8711-F33C-E56A-EC33-5B3932BD4BAF}"/>
</xltc:personList>
</file>

<file path=xl/tables/table1.xml><?xml version="1.0" encoding="utf-8"?>
<x:table xmlns:x="http://schemas.openxmlformats.org/spreadsheetml/2006/main" id="1" name="TabelaMateriais" displayName="TabelaMateriais" ref="A1:I138">
  <x:tableColumns count="9">
    <x:tableColumn id="1" name="Item"/>
    <x:tableColumn id="2" name="Número"/>
    <x:tableColumn id="3" name="Descrição das mercadorias"/>
    <x:tableColumn id="4" name="Ref. Fab."/>
    <x:tableColumn id="5" name="NCM"/>
    <x:tableColumn id="6" name="Un"/>
    <x:tableColumn id="7" name="Qtde"/>
    <x:tableColumn id="8" name="R$ Unit."/>
    <x:tableColumn id="10" name="R$ Total"/>
  </x:tableColumns>
  <x:tableStyleInfo name="TableStyleMedium2" showRowStripes="1"/>
</x:table>
</file>

<file path=xl/tables/table2.xml><?xml version="1.0" encoding="utf-8"?>
<x:table xmlns:x="http://schemas.openxmlformats.org/spreadsheetml/2006/main" id="2" name="TabelaMateriais17017" displayName="TabelaMateriais17017" ref="A146:I279">
  <x:tableColumns count="9">
    <x:tableColumn id="1" name="Categoria"/>
    <x:tableColumn id="2" name="Subgrupo"/>
    <x:tableColumn id="3" name="Item / Descrição"/>
    <x:tableColumn id="4" name="ETS"/>
    <x:tableColumn id="5" name="Quantidade"/>
    <x:tableColumn id="6" name="Individual"/>
    <x:tableColumn id="7" name="Turma"/>
    <x:tableColumn id="8" name="Ensaio"/>
    <x:tableColumn id="9" name="Página PDF"/>
  </x:tableColumns>
  <x:tableStyleInfo name="TableStyleMedium2" showRowStripes="1"/>
</x:table>
</file>

<file path=xl/tables/table3.xml><?xml version="1.0" encoding="utf-8"?>
<x:table xmlns:x="http://schemas.openxmlformats.org/spreadsheetml/2006/main" id="3" name="TabelaConferenciaValores" displayName="TabelaConferenciaValores" ref="A1:L101" headerRowCount="1">
  <x:tableColumns count="12">
    <x:tableColumn id="1" name="Status"/>
    <x:tableColumn id="2" name="Linha destino"/>
    <x:tableColumn id="3" name="SQ"/>
    <x:tableColumn id="4" name="Descrição destino"/>
    <x:tableColumn id="5" name="QTD destino"/>
    <x:tableColumn id="6" name="Valor unit. preenchido"/>
    <x:tableColumn id="7" name="Item origem"/>
    <x:tableColumn id="8" name="Descrição origem"/>
    <x:tableColumn id="9" name="Un origem"/>
    <x:tableColumn id="10" name="QTD origem"/>
    <x:tableColumn id="11" name="R$ Unit. origem"/>
    <x:tableColumn id="12" name="R$ Total origem"/>
  </x:tableColumns>
  <x:tableStyleInfo name="TableStyleMedium2" showRowStripes="1"/>
</x: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ffc84151e2f402e" /><Relationship Type="http://schemas.openxmlformats.org/officeDocument/2006/relationships/vmlDrawing" Target="/xl/drawings/vmldrawing.vml" Id="R1f3de2a315f54a5b" /><Relationship Type="http://schemas.openxmlformats.org/officeDocument/2006/relationships/drawing" Target="/xl/drawings/drawing1.xml" Id="Rad3c4067fdea4f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cb86311ef84c6a" /><Relationship Type="http://schemas.openxmlformats.org/officeDocument/2006/relationships/table" Target="/xl/tables/table2.xml" Id="Red9862faa3f54f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8c4d49bd1d4abe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4.21875" customWidth="1"/>
    <x:col min="2" max="2" width="57.44140625" customWidth="1"/>
    <x:col min="5" max="5" width="18.5546875" customWidth="1"/>
    <x:col min="6" max="6" width="15.44140625" customWidth="1"/>
    <x:col min="7" max="7" width="13.44140625" customWidth="1"/>
    <x:col min="25" max="25" width="8.44140625" customWidth="1"/>
  </x:cols>
  <x:sheetData>
    <x:row r="1" ht="17.399999618530273">
      <x:c r="A1" s="104" t="s">
        <x:v>0</x:v>
      </x:c>
      <x:c r="B1" s="104"/>
      <x:c r="C1" s="104"/>
      <x:c r="D1" s="104"/>
      <x:c r="E1" s="104"/>
      <x:c r="F1" s="104"/>
    </x:row>
    <x:row r="2">
      <x:c r="A2" s="105" t="s">
        <x:v>1</x:v>
      </x:c>
      <x:c r="B2" s="105"/>
      <x:c r="C2" s="105"/>
      <x:c r="D2" s="105"/>
      <x:c r="E2" s="105"/>
      <x:c r="F2" s="105"/>
    </x:row>
    <x:row r="3">
      <x:c r="A3" s="100" t="s">
        <x:v>2</x:v>
      </x:c>
      <x:c r="B3" s="101" t="s">
        <x:v>3</x:v>
      </x:c>
      <x:c r="C3" s="100" t="s">
        <x:v>4</x:v>
      </x:c>
      <x:c r="D3" s="100" t="s">
        <x:v>5</x:v>
      </x:c>
      <x:c r="E3" s="99" t="s">
        <x:v>6</x:v>
      </x:c>
      <x:c r="F3" s="98" t="s">
        <x:v>7</x:v>
      </x:c>
    </x:row>
    <x:row r="4" ht="28.799999237060547">
      <x:c r="A4" s="1">
        <x:v>1</x:v>
      </x:c>
      <x:c r="B4" s="75" t="s">
        <x:v>8</x:v>
      </x:c>
      <x:c r="C4" s="1" t="s">
        <x:v>9</x:v>
      </x:c>
      <x:c r="D4" s="1">
        <x:v>1</x:v>
      </x:c>
      <x:c r="E4" s="256" t="n">
        <x:v>4990</x:v>
      </x:c>
      <x:c r="F4" s="257" t="n">
        <x:f t="shared" ref="F4:F35" si="0">E4*D4</x:f>
        <x:v>4990</x:v>
      </x:c>
      <x:c r="G4" s="4" t="s">
        <x:v>10</x:v>
      </x:c>
    </x:row>
    <x:row r="5">
      <x:c r="A5" s="1">
        <x:v>2</x:v>
      </x:c>
      <x:c r="B5" s="29" t="s">
        <x:v>11</x:v>
      </x:c>
      <x:c r="C5" s="1"/>
      <x:c r="D5" s="1">
        <x:v>1</x:v>
      </x:c>
      <x:c r="E5" s="258" t="n">
        <x:v>1250</x:v>
      </x:c>
      <x:c r="F5" s="258" t="n">
        <x:f t="shared" si="0">E5*D5</x:f>
        <x:v>1250</x:v>
      </x:c>
      <x:c r="G5" s="4" t="s">
        <x:v>10</x:v>
      </x:c>
    </x:row>
    <x:row r="6" ht="28.799999237060547">
      <x:c r="A6" s="1">
        <x:v>3</x:v>
      </x:c>
      <x:c r="B6" s="75" t="s">
        <x:v>12</x:v>
      </x:c>
      <x:c r="C6" s="1"/>
      <x:c r="D6" s="1">
        <x:v>1</x:v>
      </x:c>
      <x:c r="E6" s="257" t="n">
        <x:v>138</x:v>
      </x:c>
      <x:c r="F6" s="257" t="n">
        <x:f t="shared" si="0">E6*D6</x:f>
        <x:v>138</x:v>
      </x:c>
      <x:c r="G6" s="4" t="s">
        <x:v>13</x:v>
      </x:c>
    </x:row>
    <x:row r="7">
      <x:c r="A7" s="1">
        <x:v>4</x:v>
      </x:c>
      <x:c r="B7" s="75" t="s">
        <x:v>14</x:v>
      </x:c>
      <x:c r="C7" s="1"/>
      <x:c r="D7" s="1">
        <x:v>1</x:v>
      </x:c>
      <x:c r="E7" s="257" t="n">
        <x:v>1190</x:v>
      </x:c>
      <x:c r="F7" s="258" t="n">
        <x:f t="shared" si="0">E7*D7</x:f>
        <x:v>1190</x:v>
      </x:c>
      <x:c r="G7" s="4" t="s">
        <x:v>10</x:v>
      </x:c>
    </x:row>
    <x:row r="8">
      <x:c r="A8" s="1">
        <x:v>5</x:v>
      </x:c>
      <x:c r="B8" s="75" t="s">
        <x:v>15</x:v>
      </x:c>
      <x:c r="C8" s="1" t="s">
        <x:v>16</x:v>
      </x:c>
      <x:c r="D8" s="1">
        <x:v>3</x:v>
      </x:c>
      <x:c r="E8" s="257" t="n">
        <x:v>46</x:v>
      </x:c>
      <x:c r="F8" s="258" t="n">
        <x:f t="shared" si="0">E8*D8</x:f>
        <x:v>138</x:v>
      </x:c>
      <x:c r="G8" s="4" t="s">
        <x:v>10</x:v>
      </x:c>
    </x:row>
    <x:row r="9">
      <x:c r="A9" s="1">
        <x:v>6</x:v>
      </x:c>
      <x:c r="B9" s="75" t="s">
        <x:v>17</x:v>
      </x:c>
      <x:c r="C9" s="1"/>
      <x:c r="D9" s="1">
        <x:v>1</x:v>
      </x:c>
      <x:c r="E9" s="257" t="n">
        <x:v>25</x:v>
      </x:c>
      <x:c r="F9" s="258" t="n">
        <x:f t="shared" si="0">E9*D9</x:f>
        <x:v>25</x:v>
      </x:c>
      <x:c r="G9" s="4" t="s">
        <x:v>10</x:v>
      </x:c>
    </x:row>
    <x:row r="10">
      <x:c r="A10" s="1">
        <x:v>7</x:v>
      </x:c>
      <x:c r="B10" s="75" t="s">
        <x:v>18</x:v>
      </x:c>
      <x:c r="C10" s="1"/>
      <x:c r="D10" s="1">
        <x:v>2</x:v>
      </x:c>
      <x:c r="E10" s="257" t="n">
        <x:v>46</x:v>
      </x:c>
      <x:c r="F10" s="258" t="n">
        <x:f t="shared" si="0">E10*D10</x:f>
        <x:v>92</x:v>
      </x:c>
      <x:c r="G10" s="4" t="s">
        <x:v>10</x:v>
      </x:c>
    </x:row>
    <x:row r="11">
      <x:c r="A11" s="1">
        <x:v>8</x:v>
      </x:c>
      <x:c r="B11" s="75" t="s">
        <x:v>19</x:v>
      </x:c>
      <x:c r="C11" s="1"/>
      <x:c r="D11" s="1">
        <x:v>1</x:v>
      </x:c>
      <x:c r="E11" s="257" t="n">
        <x:v>23.5</x:v>
      </x:c>
      <x:c r="F11" s="258" t="n">
        <x:f t="shared" si="0">E11*D11</x:f>
        <x:v>23.5</x:v>
      </x:c>
      <x:c r="G11" s="4" t="s">
        <x:v>10</x:v>
      </x:c>
    </x:row>
    <x:row r="12">
      <x:c r="A12" s="1">
        <x:v>9</x:v>
      </x:c>
      <x:c r="B12" s="75" t="s">
        <x:v>20</x:v>
      </x:c>
      <x:c r="C12" s="1"/>
      <x:c r="D12" s="1">
        <x:v>1</x:v>
      </x:c>
      <x:c r="E12" s="257"/>
      <x:c r="F12" s="258" t="n">
        <x:f t="shared" si="0">E12*D12</x:f>
        <x:v>0</x:v>
      </x:c>
      <x:c r="G12" s="4" t="s">
        <x:v>10</x:v>
      </x:c>
    </x:row>
    <x:row r="13">
      <x:c r="A13" s="1">
        <x:v>10</x:v>
      </x:c>
      <x:c r="B13" s="29" t="s">
        <x:v>21</x:v>
      </x:c>
      <x:c r="C13" s="1" t="s">
        <x:v>16</x:v>
      </x:c>
      <x:c r="D13" s="1">
        <x:v>3</x:v>
      </x:c>
      <x:c r="E13" s="257" t="n">
        <x:v>890</x:v>
      </x:c>
      <x:c r="F13" s="258" t="n">
        <x:f t="shared" si="0">E13*D13</x:f>
        <x:v>2670</x:v>
      </x:c>
      <x:c r="G13" s="4" t="s">
        <x:v>10</x:v>
      </x:c>
    </x:row>
    <x:row r="14">
      <x:c r="A14" s="1">
        <x:v>11</x:v>
      </x:c>
      <x:c r="B14" s="75" t="s">
        <x:v>22</x:v>
      </x:c>
      <x:c r="C14" s="1" t="s">
        <x:v>16</x:v>
      </x:c>
      <x:c r="D14" s="1">
        <x:v>1</x:v>
      </x:c>
      <x:c r="E14" s="257" t="n">
        <x:v>1790</x:v>
      </x:c>
      <x:c r="F14" s="258" t="n">
        <x:f t="shared" si="0">E14*D14</x:f>
        <x:v>1790</x:v>
      </x:c>
      <x:c r="G14" s="4" t="s">
        <x:v>10</x:v>
      </x:c>
    </x:row>
    <x:row r="15">
      <x:c r="A15" s="1">
        <x:v>12</x:v>
      </x:c>
      <x:c r="B15" s="75" t="s">
        <x:v>23</x:v>
      </x:c>
      <x:c r="C15" s="1" t="s">
        <x:v>16</x:v>
      </x:c>
      <x:c r="D15" s="1">
        <x:v>1</x:v>
      </x:c>
      <x:c r="E15" s="257" t="n">
        <x:v>2980</x:v>
      </x:c>
      <x:c r="F15" s="258" t="n">
        <x:f t="shared" si="0">E15*D15</x:f>
        <x:v>2980</x:v>
      </x:c>
      <x:c r="G15" s="4" t="s">
        <x:v>10</x:v>
      </x:c>
    </x:row>
    <x:row r="16">
      <x:c r="A16" s="1">
        <x:v>13</x:v>
      </x:c>
      <x:c r="B16" s="29" t="s">
        <x:v>24</x:v>
      </x:c>
      <x:c r="C16" s="1" t="s">
        <x:v>16</x:v>
      </x:c>
      <x:c r="D16" s="1">
        <x:v>1</x:v>
      </x:c>
      <x:c r="E16" s="257" t="n">
        <x:v>510</x:v>
      </x:c>
      <x:c r="F16" s="258" t="n">
        <x:f t="shared" si="0">E16*D16</x:f>
        <x:v>510</x:v>
      </x:c>
      <x:c r="G16" s="4" t="s">
        <x:v>10</x:v>
      </x:c>
    </x:row>
    <x:row r="17">
      <x:c r="A17" s="1">
        <x:v>14</x:v>
      </x:c>
      <x:c r="B17" s="75" t="s">
        <x:v>25</x:v>
      </x:c>
      <x:c r="C17" s="1"/>
      <x:c r="D17" s="1">
        <x:v>1</x:v>
      </x:c>
      <x:c r="E17" s="257"/>
      <x:c r="F17" s="258" t="n">
        <x:f t="shared" si="0">E17*D17</x:f>
        <x:v>0</x:v>
      </x:c>
      <x:c r="G17" s="4" t="s">
        <x:v>10</x:v>
      </x:c>
    </x:row>
    <x:row r="18">
      <x:c r="A18" s="1">
        <x:v>15</x:v>
      </x:c>
      <x:c r="B18" s="75" t="s">
        <x:v>26</x:v>
      </x:c>
      <x:c r="C18" s="1"/>
      <x:c r="D18" s="1">
        <x:v>6</x:v>
      </x:c>
      <x:c r="E18" s="257" t="n">
        <x:v>40</x:v>
      </x:c>
      <x:c r="F18" s="258" t="n">
        <x:f t="shared" si="0">E18*D18</x:f>
        <x:v>240</x:v>
      </x:c>
      <x:c r="G18" s="4" t="s">
        <x:v>10</x:v>
      </x:c>
    </x:row>
    <x:row r="19">
      <x:c r="A19" s="1">
        <x:v>16</x:v>
      </x:c>
      <x:c r="B19" s="75" t="s">
        <x:v>27</x:v>
      </x:c>
      <x:c r="C19" s="1"/>
      <x:c r="D19" s="1">
        <x:v>9</x:v>
      </x:c>
      <x:c r="E19" s="257" t="n">
        <x:v>12</x:v>
      </x:c>
      <x:c r="F19" s="258" t="n">
        <x:f t="shared" si="0">E19*D19</x:f>
        <x:v>108</x:v>
      </x:c>
      <x:c r="G19" s="4" t="s">
        <x:v>10</x:v>
      </x:c>
    </x:row>
    <x:row r="20">
      <x:c r="A20" s="1">
        <x:v>17</x:v>
      </x:c>
      <x:c r="B20" s="75" t="s">
        <x:v>28</x:v>
      </x:c>
      <x:c r="C20" s="1"/>
      <x:c r="D20" s="1">
        <x:v>1</x:v>
      </x:c>
      <x:c r="E20" s="257"/>
      <x:c r="F20" s="257" t="n">
        <x:f t="shared" si="0">E20*D20</x:f>
        <x:v>0</x:v>
      </x:c>
      <x:c r="G20" s="4" t="s">
        <x:v>10</x:v>
      </x:c>
    </x:row>
    <x:row r="21">
      <x:c r="A21" s="1">
        <x:v>18</x:v>
      </x:c>
      <x:c r="B21" s="75" t="s">
        <x:v>29</x:v>
      </x:c>
      <x:c r="C21" s="1"/>
      <x:c r="D21" s="1">
        <x:v>1</x:v>
      </x:c>
      <x:c r="E21" s="257" t="n">
        <x:v>51</x:v>
      </x:c>
      <x:c r="F21" s="257" t="n">
        <x:f t="shared" si="0">E21*D21</x:f>
        <x:v>51</x:v>
      </x:c>
      <x:c r="G21" s="4" t="s">
        <x:v>10</x:v>
      </x:c>
    </x:row>
    <x:row r="22">
      <x:c r="A22" s="1">
        <x:v>19</x:v>
      </x:c>
      <x:c r="B22" s="75" t="s">
        <x:v>30</x:v>
      </x:c>
      <x:c r="C22" s="1"/>
      <x:c r="D22" s="1">
        <x:v>1</x:v>
      </x:c>
      <x:c r="E22" s="257" t="n">
        <x:v>990</x:v>
      </x:c>
      <x:c r="F22" s="257" t="n">
        <x:f t="shared" si="0">E22*D22</x:f>
        <x:v>990</x:v>
      </x:c>
      <x:c r="G22" s="4" t="s">
        <x:v>10</x:v>
      </x:c>
    </x:row>
    <x:row r="23">
      <x:c r="A23" s="79">
        <x:v>20</x:v>
      </x:c>
      <x:c r="B23" s="80" t="s">
        <x:v>31</x:v>
      </x:c>
      <x:c r="C23" s="79" t="s">
        <x:v>16</x:v>
      </x:c>
      <x:c r="D23" s="79">
        <x:v>21</x:v>
      </x:c>
      <x:c r="E23" s="257" t="n">
        <x:v>220</x:v>
      </x:c>
      <x:c r="F23" s="257" t="n">
        <x:f t="shared" si="0">E23*D23</x:f>
        <x:v>4620</x:v>
      </x:c>
      <x:c r="G23" s="4"/>
    </x:row>
    <x:row r="24" ht="15.75" customHeight="1">
      <x:c r="A24" s="79">
        <x:v>21</x:v>
      </x:c>
      <x:c r="B24" s="80" t="s">
        <x:v>32</x:v>
      </x:c>
      <x:c r="C24" s="79" t="s">
        <x:v>16</x:v>
      </x:c>
      <x:c r="D24" s="79">
        <x:v>15</x:v>
      </x:c>
      <x:c r="E24" s="257" t="n">
        <x:v>317</x:v>
      </x:c>
      <x:c r="F24" s="257" t="n">
        <x:f t="shared" si="0">E24*D24</x:f>
        <x:v>4755</x:v>
      </x:c>
      <x:c r="G24" s="4"/>
    </x:row>
    <x:row r="25">
      <x:c r="A25" s="79">
        <x:v>22</x:v>
      </x:c>
      <x:c r="B25" s="80" t="s">
        <x:v>33</x:v>
      </x:c>
      <x:c r="C25" s="79" t="s">
        <x:v>16</x:v>
      </x:c>
      <x:c r="D25" s="79">
        <x:v>21</x:v>
      </x:c>
      <x:c r="E25" s="257" t="n">
        <x:v>680</x:v>
      </x:c>
      <x:c r="F25" s="257" t="n">
        <x:f t="shared" si="0">E25*D25</x:f>
        <x:v>14280</x:v>
      </x:c>
      <x:c r="G25" s="4" t="s">
        <x:v>10</x:v>
      </x:c>
    </x:row>
    <x:row r="26">
      <x:c r="A26" s="1">
        <x:v>23</x:v>
      </x:c>
      <x:c r="B26" s="75" t="s">
        <x:v>34</x:v>
      </x:c>
      <x:c r="C26" s="1"/>
      <x:c r="D26" s="1">
        <x:v>1</x:v>
      </x:c>
      <x:c r="E26" s="257" t="n">
        <x:v>750</x:v>
      </x:c>
      <x:c r="F26" s="257" t="n">
        <x:f t="shared" si="0">E26*D26</x:f>
        <x:v>750</x:v>
      </x:c>
      <x:c r="G26" s="4" t="s">
        <x:v>10</x:v>
      </x:c>
    </x:row>
    <x:row r="27">
      <x:c r="A27" s="1">
        <x:v>24</x:v>
      </x:c>
      <x:c r="B27" s="75" t="s">
        <x:v>35</x:v>
      </x:c>
      <x:c r="C27" s="1"/>
      <x:c r="D27" s="1">
        <x:v>3</x:v>
      </x:c>
      <x:c r="E27" s="257" t="n">
        <x:v>33</x:v>
      </x:c>
      <x:c r="F27" s="257" t="n">
        <x:f t="shared" si="0">E27*D27</x:f>
        <x:v>99</x:v>
      </x:c>
      <x:c r="G27" s="4" t="s">
        <x:v>10</x:v>
      </x:c>
    </x:row>
    <x:row r="28">
      <x:c r="A28" s="1">
        <x:v>25</x:v>
      </x:c>
      <x:c r="B28" s="75" t="s">
        <x:v>36</x:v>
      </x:c>
      <x:c r="C28" s="1"/>
      <x:c r="D28" s="1">
        <x:v>2</x:v>
      </x:c>
      <x:c r="E28" s="257" t="n">
        <x:v>118</x:v>
      </x:c>
      <x:c r="F28" s="257" t="n">
        <x:f t="shared" si="0">E28*D28</x:f>
        <x:v>236</x:v>
      </x:c>
      <x:c r="G28" s="4" t="s">
        <x:v>10</x:v>
      </x:c>
    </x:row>
    <x:row r="29">
      <x:c r="A29" s="1">
        <x:v>26</x:v>
      </x:c>
      <x:c r="B29" s="75" t="s">
        <x:v>37</x:v>
      </x:c>
      <x:c r="C29" s="1" t="s">
        <x:v>16</x:v>
      </x:c>
      <x:c r="D29" s="1">
        <x:v>2</x:v>
      </x:c>
      <x:c r="E29" s="257" t="n">
        <x:v>98</x:v>
      </x:c>
      <x:c r="F29" s="257" t="n">
        <x:f t="shared" si="0">E29*D29</x:f>
        <x:v>196</x:v>
      </x:c>
      <x:c r="G29" s="4" t="s">
        <x:v>10</x:v>
      </x:c>
    </x:row>
    <x:row r="30">
      <x:c r="A30" s="1">
        <x:v>27</x:v>
      </x:c>
      <x:c r="B30" s="29" t="s">
        <x:v>38</x:v>
      </x:c>
      <x:c r="C30" s="1" t="s">
        <x:v>16</x:v>
      </x:c>
      <x:c r="D30" s="1">
        <x:v>2</x:v>
      </x:c>
      <x:c r="E30" s="257" t="n">
        <x:v>102</x:v>
      </x:c>
      <x:c r="F30" s="257" t="n">
        <x:f t="shared" si="0">E30*D30</x:f>
        <x:v>204</x:v>
      </x:c>
      <x:c r="G30" s="4" t="s">
        <x:v>10</x:v>
      </x:c>
    </x:row>
    <x:row r="31">
      <x:c r="A31" s="1">
        <x:v>28</x:v>
      </x:c>
      <x:c r="B31" s="75" t="s">
        <x:v>39</x:v>
      </x:c>
      <x:c r="C31" s="1" t="s">
        <x:v>16</x:v>
      </x:c>
      <x:c r="D31" s="1">
        <x:v>3</x:v>
      </x:c>
      <x:c r="E31" s="257" t="n">
        <x:v>13.6</x:v>
      </x:c>
      <x:c r="F31" s="257" t="n">
        <x:f t="shared" si="0">E31*D31</x:f>
        <x:v>40.8</x:v>
      </x:c>
      <x:c r="G31" s="4" t="s">
        <x:v>10</x:v>
      </x:c>
    </x:row>
    <x:row r="32">
      <x:c r="A32" s="1">
        <x:v>29</x:v>
      </x:c>
      <x:c r="B32" s="75" t="s">
        <x:v>40</x:v>
      </x:c>
      <x:c r="C32" s="1" t="s">
        <x:v>16</x:v>
      </x:c>
      <x:c r="D32" s="1">
        <x:v>3</x:v>
      </x:c>
      <x:c r="E32" s="257" t="n">
        <x:v>21</x:v>
      </x:c>
      <x:c r="F32" s="257" t="n">
        <x:f t="shared" si="0">E32*D32</x:f>
        <x:v>63</x:v>
      </x:c>
      <x:c r="G32" s="4" t="s">
        <x:v>10</x:v>
      </x:c>
    </x:row>
    <x:row r="33">
      <x:c r="A33" s="1">
        <x:v>30</x:v>
      </x:c>
      <x:c r="B33" s="75" t="s">
        <x:v>41</x:v>
      </x:c>
      <x:c r="C33" s="1" t="s">
        <x:v>16</x:v>
      </x:c>
      <x:c r="D33" s="1">
        <x:v>3</x:v>
      </x:c>
      <x:c r="E33" s="257" t="n">
        <x:v>27.2</x:v>
      </x:c>
      <x:c r="F33" s="257" t="n">
        <x:f t="shared" si="0">E33*D33</x:f>
        <x:v>81.6</x:v>
      </x:c>
      <x:c r="G33" s="4" t="s">
        <x:v>10</x:v>
      </x:c>
    </x:row>
    <x:row r="34" ht="18.75" customHeight="1">
      <x:c r="A34" s="1">
        <x:v>31</x:v>
      </x:c>
      <x:c r="B34" s="75" t="s">
        <x:v>42</x:v>
      </x:c>
      <x:c r="C34" s="1" t="s">
        <x:v>16</x:v>
      </x:c>
      <x:c r="D34" s="1">
        <x:v>2</x:v>
      </x:c>
      <x:c r="E34" s="257"/>
      <x:c r="F34" s="257" t="n">
        <x:f t="shared" si="0">E34*D34</x:f>
        <x:v>0</x:v>
      </x:c>
      <x:c r="G34" s="4" t="s">
        <x:v>10</x:v>
      </x:c>
    </x:row>
    <x:row r="35" ht="15" customHeight="1">
      <x:c r="A35" s="1">
        <x:v>32</x:v>
      </x:c>
      <x:c r="B35" s="75" t="s">
        <x:v>43</x:v>
      </x:c>
      <x:c r="C35" s="1" t="s">
        <x:v>16</x:v>
      </x:c>
      <x:c r="D35" s="1">
        <x:v>2</x:v>
      </x:c>
      <x:c r="E35" s="257" t="n">
        <x:v>170</x:v>
      </x:c>
      <x:c r="F35" s="257" t="n">
        <x:f t="shared" si="0">E35*D35</x:f>
        <x:v>340</x:v>
      </x:c>
      <x:c r="G35" s="4" t="s">
        <x:v>10</x:v>
      </x:c>
      <x:c r="M35">
        <x:v>1250</x:v>
      </x:c>
      <x:c r="N35">
        <x:v>1075.32</x:v>
      </x:c>
    </x:row>
    <x:row r="36">
      <x:c r="A36" s="1">
        <x:v>33</x:v>
      </x:c>
      <x:c r="B36" s="75" t="s">
        <x:v>44</x:v>
      </x:c>
      <x:c r="C36" s="1"/>
      <x:c r="D36" s="1">
        <x:v>1</x:v>
      </x:c>
      <x:c r="E36" s="257" t="n">
        <x:v>190</x:v>
      </x:c>
      <x:c r="F36" s="257" t="n">
        <x:f t="shared" ref="F36:F67" si="1">E36*D36</x:f>
        <x:v>190</x:v>
      </x:c>
      <x:c r="G36" s="4" t="s">
        <x:v>10</x:v>
      </x:c>
    </x:row>
    <x:row r="37">
      <x:c r="A37" s="1">
        <x:v>34</x:v>
      </x:c>
      <x:c r="B37" s="75" t="s">
        <x:v>45</x:v>
      </x:c>
      <x:c r="C37" s="1"/>
      <x:c r="D37" s="1">
        <x:v>1</x:v>
      </x:c>
      <x:c r="E37" s="257" t="n">
        <x:v>277</x:v>
      </x:c>
      <x:c r="F37" s="257" t="n">
        <x:f t="shared" si="1">E37*D37</x:f>
        <x:v>277</x:v>
      </x:c>
      <x:c r="G37" s="4" t="s">
        <x:v>10</x:v>
      </x:c>
    </x:row>
    <x:row r="38">
      <x:c r="A38" s="1">
        <x:v>35</x:v>
      </x:c>
      <x:c r="B38" s="75" t="s">
        <x:v>46</x:v>
      </x:c>
      <x:c r="C38" s="1"/>
      <x:c r="D38" s="1">
        <x:v>30</x:v>
      </x:c>
      <x:c r="E38" s="257"/>
      <x:c r="F38" s="257" t="n">
        <x:f t="shared" si="1">E38*D38</x:f>
        <x:v>0</x:v>
      </x:c>
      <x:c r="G38" s="4" t="s">
        <x:v>10</x:v>
      </x:c>
    </x:row>
    <x:row r="39">
      <x:c r="A39" s="1">
        <x:v>36</x:v>
      </x:c>
      <x:c r="B39" s="75" t="s">
        <x:v>47</x:v>
      </x:c>
      <x:c r="C39" s="1"/>
      <x:c r="D39" s="1">
        <x:v>90</x:v>
      </x:c>
      <x:c r="E39" s="257" t="n">
        <x:v>255</x:v>
      </x:c>
      <x:c r="F39" s="257" t="n">
        <x:f t="shared" si="1">E39*D39</x:f>
        <x:v>22950</x:v>
      </x:c>
      <x:c r="G39" s="4" t="s">
        <x:v>10</x:v>
      </x:c>
    </x:row>
    <x:row r="40" ht="28.799999237060547">
      <x:c r="A40" s="1">
        <x:v>37</x:v>
      </x:c>
      <x:c r="B40" s="96" t="s">
        <x:v>48</x:v>
      </x:c>
      <x:c r="C40" s="1"/>
      <x:c r="D40" s="1">
        <x:v>10</x:v>
      </x:c>
      <x:c r="E40" s="257" t="n">
        <x:v>2.2</x:v>
      </x:c>
      <x:c r="F40" s="257" t="n">
        <x:f t="shared" si="1">E40*D40</x:f>
        <x:v>22</x:v>
      </x:c>
      <x:c r="G40" s="4" t="s">
        <x:v>10</x:v>
      </x:c>
    </x:row>
    <x:row r="41">
      <x:c r="A41" s="1">
        <x:v>38</x:v>
      </x:c>
      <x:c r="B41" s="75" t="s">
        <x:v>49</x:v>
      </x:c>
      <x:c r="C41" s="1"/>
      <x:c r="D41" s="1">
        <x:v>60</x:v>
      </x:c>
      <x:c r="E41" s="257" t="n">
        <x:v>2.2</x:v>
      </x:c>
      <x:c r="F41" s="257" t="n">
        <x:f t="shared" si="1">E41*D41</x:f>
        <x:v>132</x:v>
      </x:c>
      <x:c r="G41" s="4" t="s">
        <x:v>10</x:v>
      </x:c>
    </x:row>
    <x:row r="42">
      <x:c r="A42" s="1">
        <x:v>39</x:v>
      </x:c>
      <x:c r="B42" s="75" t="s">
        <x:v>50</x:v>
      </x:c>
      <x:c r="C42" s="1" t="s">
        <x:v>16</x:v>
      </x:c>
      <x:c r="D42" s="1">
        <x:v>1</x:v>
      </x:c>
      <x:c r="E42" s="257" t="n">
        <x:v>4350</x:v>
      </x:c>
      <x:c r="F42" s="257" t="n">
        <x:f t="shared" si="1">E42*D42</x:f>
        <x:v>4350</x:v>
      </x:c>
      <x:c r="G42" s="4" t="s">
        <x:v>10</x:v>
      </x:c>
    </x:row>
    <x:row r="43" ht="17.549999237060547" customHeight="1">
      <x:c r="A43" s="1">
        <x:v>40</x:v>
      </x:c>
      <x:c r="B43" s="75" t="s">
        <x:v>51</x:v>
      </x:c>
      <x:c r="C43" s="1"/>
      <x:c r="D43" s="1">
        <x:v>1</x:v>
      </x:c>
      <x:c r="E43" s="257"/>
      <x:c r="F43" s="257" t="n">
        <x:f t="shared" si="1">E43*D43</x:f>
        <x:v>0</x:v>
      </x:c>
      <x:c r="G43" s="4" t="s">
        <x:v>10</x:v>
      </x:c>
    </x:row>
    <x:row r="44" ht="16.5" customHeight="1">
      <x:c r="A44" s="1">
        <x:v>41</x:v>
      </x:c>
      <x:c r="B44" s="75" t="s">
        <x:v>52</x:v>
      </x:c>
      <x:c r="C44" s="1"/>
      <x:c r="D44" s="1">
        <x:v>1</x:v>
      </x:c>
      <x:c r="E44" s="257"/>
      <x:c r="F44" s="257" t="n">
        <x:f t="shared" si="1">E44*D44</x:f>
        <x:v>0</x:v>
      </x:c>
      <x:c r="G44" s="4" t="s">
        <x:v>10</x:v>
      </x:c>
    </x:row>
    <x:row r="45" ht="19.049999237060547" customHeight="1">
      <x:c r="A45" s="1">
        <x:v>42</x:v>
      </x:c>
      <x:c r="B45" s="75" t="s">
        <x:v>53</x:v>
      </x:c>
      <x:c r="C45" s="1"/>
      <x:c r="D45" s="1">
        <x:v>1</x:v>
      </x:c>
      <x:c r="E45" s="257" t="n">
        <x:v>148</x:v>
      </x:c>
      <x:c r="F45" s="257" t="n">
        <x:f t="shared" si="1">E45*D45</x:f>
        <x:v>148</x:v>
      </x:c>
      <x:c r="G45" s="4" t="s">
        <x:v>10</x:v>
      </x:c>
    </x:row>
    <x:row r="46" ht="28.799999237060547">
      <x:c r="A46" s="1">
        <x:v>43</x:v>
      </x:c>
      <x:c r="B46" s="75" t="s">
        <x:v>54</x:v>
      </x:c>
      <x:c r="C46" s="1"/>
      <x:c r="D46" s="1">
        <x:v>1</x:v>
      </x:c>
      <x:c r="E46" s="257"/>
      <x:c r="F46" s="257" t="n">
        <x:f t="shared" si="1">E46*D46</x:f>
        <x:v>0</x:v>
      </x:c>
      <x:c r="G46" s="4" t="s">
        <x:v>10</x:v>
      </x:c>
    </x:row>
    <x:row r="47">
      <x:c r="A47" s="1">
        <x:v>44</x:v>
      </x:c>
      <x:c r="B47" s="75" t="s">
        <x:v>55</x:v>
      </x:c>
      <x:c r="C47" s="1"/>
      <x:c r="D47" s="1">
        <x:v>2</x:v>
      </x:c>
      <x:c r="E47" s="257" t="n">
        <x:v>180</x:v>
      </x:c>
      <x:c r="F47" s="257" t="n">
        <x:f t="shared" si="1">E47*D47</x:f>
        <x:v>360</x:v>
      </x:c>
      <x:c r="G47" s="4" t="s">
        <x:v>10</x:v>
      </x:c>
    </x:row>
    <x:row r="48">
      <x:c r="A48" s="1">
        <x:v>45</x:v>
      </x:c>
      <x:c r="B48" s="75" t="s">
        <x:v>56</x:v>
      </x:c>
      <x:c r="C48" s="1"/>
      <x:c r="D48" s="1">
        <x:v>3</x:v>
      </x:c>
      <x:c r="E48" s="257" t="n">
        <x:v>325</x:v>
      </x:c>
      <x:c r="F48" s="257" t="n">
        <x:f t="shared" si="1">E48*D48</x:f>
        <x:v>975</x:v>
      </x:c>
      <x:c r="G48" s="4" t="s">
        <x:v>10</x:v>
      </x:c>
    </x:row>
    <x:row r="49">
      <x:c r="A49" s="1">
        <x:v>46</x:v>
      </x:c>
      <x:c r="B49" s="75" t="s">
        <x:v>57</x:v>
      </x:c>
      <x:c r="C49" s="1"/>
      <x:c r="D49" s="1">
        <x:v>3</x:v>
      </x:c>
      <x:c r="E49" s="257" t="n">
        <x:v>610</x:v>
      </x:c>
      <x:c r="F49" s="257" t="n">
        <x:f t="shared" si="1">E49*D49</x:f>
        <x:v>1830</x:v>
      </x:c>
      <x:c r="G49" s="4" t="s">
        <x:v>10</x:v>
      </x:c>
    </x:row>
    <x:row r="50">
      <x:c r="A50" s="1">
        <x:v>47</x:v>
      </x:c>
      <x:c r="B50" s="75" t="s">
        <x:v>58</x:v>
      </x:c>
      <x:c r="C50" s="1"/>
      <x:c r="D50" s="1">
        <x:v>2</x:v>
      </x:c>
      <x:c r="E50" s="257" t="n">
        <x:v>188</x:v>
      </x:c>
      <x:c r="F50" s="257" t="n">
        <x:f t="shared" si="1">E50*D50</x:f>
        <x:v>376</x:v>
      </x:c>
      <x:c r="G50" s="4" t="s">
        <x:v>10</x:v>
      </x:c>
    </x:row>
    <x:row r="51">
      <x:c r="A51" s="1">
        <x:v>48</x:v>
      </x:c>
      <x:c r="B51" s="75" t="s">
        <x:v>59</x:v>
      </x:c>
      <x:c r="C51" s="1"/>
      <x:c r="D51" s="1">
        <x:v>1</x:v>
      </x:c>
      <x:c r="E51" s="257"/>
      <x:c r="F51" s="257" t="n">
        <x:f t="shared" si="1">E51*D51</x:f>
        <x:v>0</x:v>
      </x:c>
      <x:c r="G51" s="4" t="s">
        <x:v>10</x:v>
      </x:c>
    </x:row>
    <x:row r="52">
      <x:c r="A52" s="1">
        <x:v>49</x:v>
      </x:c>
      <x:c r="B52" s="75" t="s">
        <x:v>60</x:v>
      </x:c>
      <x:c r="C52" s="1"/>
      <x:c r="D52" s="1">
        <x:v>1</x:v>
      </x:c>
      <x:c r="E52" s="257" t="n">
        <x:v>239</x:v>
      </x:c>
      <x:c r="F52" s="257" t="n">
        <x:f t="shared" si="1">E52*D52</x:f>
        <x:v>239</x:v>
      </x:c>
      <x:c r="G52" s="4" t="s">
        <x:v>10</x:v>
      </x:c>
    </x:row>
    <x:row r="53">
      <x:c r="A53" s="1">
        <x:v>50</x:v>
      </x:c>
      <x:c r="B53" s="29" t="s">
        <x:v>61</x:v>
      </x:c>
      <x:c r="C53" s="1"/>
      <x:c r="D53" s="1">
        <x:v>3</x:v>
      </x:c>
      <x:c r="E53" s="257" t="n">
        <x:v>115</x:v>
      </x:c>
      <x:c r="F53" s="257" t="n">
        <x:f t="shared" si="1">E53*D53</x:f>
        <x:v>345</x:v>
      </x:c>
      <x:c r="G53" s="4" t="s">
        <x:v>10</x:v>
      </x:c>
    </x:row>
    <x:row r="54">
      <x:c r="A54" s="1">
        <x:v>51</x:v>
      </x:c>
      <x:c r="B54" s="75" t="s">
        <x:v>62</x:v>
      </x:c>
      <x:c r="C54" s="1"/>
      <x:c r="D54" s="1">
        <x:v>3</x:v>
      </x:c>
      <x:c r="E54" s="257" t="n">
        <x:v>139</x:v>
      </x:c>
      <x:c r="F54" s="257" t="n">
        <x:f t="shared" si="1">E54*D54</x:f>
        <x:v>417</x:v>
      </x:c>
      <x:c r="G54" s="4" t="s">
        <x:v>10</x:v>
      </x:c>
    </x:row>
    <x:row r="55">
      <x:c r="A55" s="1">
        <x:v>52</x:v>
      </x:c>
      <x:c r="B55" s="75" t="s">
        <x:v>63</x:v>
      </x:c>
      <x:c r="C55" s="1"/>
      <x:c r="D55" s="1">
        <x:v>1</x:v>
      </x:c>
      <x:c r="E55" s="257" t="n">
        <x:v>58</x:v>
      </x:c>
      <x:c r="F55" s="257" t="n">
        <x:f t="shared" si="1">E55*D55</x:f>
        <x:v>58</x:v>
      </x:c>
      <x:c r="G55" s="4" t="s">
        <x:v>10</x:v>
      </x:c>
    </x:row>
    <x:row r="56">
      <x:c r="A56" s="1">
        <x:v>53</x:v>
      </x:c>
      <x:c r="B56" s="75" t="s">
        <x:v>64</x:v>
      </x:c>
      <x:c r="C56" s="1"/>
      <x:c r="D56" s="1">
        <x:v>6</x:v>
      </x:c>
      <x:c r="E56" s="257" t="n">
        <x:v>155</x:v>
      </x:c>
      <x:c r="F56" s="257" t="n">
        <x:f t="shared" si="1">E56*D56</x:f>
        <x:v>930</x:v>
      </x:c>
      <x:c r="G56" s="4" t="s">
        <x:v>10</x:v>
      </x:c>
    </x:row>
    <x:row r="57">
      <x:c r="A57" s="1">
        <x:v>54</x:v>
      </x:c>
      <x:c r="B57" s="75" t="s">
        <x:v>65</x:v>
      </x:c>
      <x:c r="C57" s="1"/>
      <x:c r="D57" s="1">
        <x:v>6</x:v>
      </x:c>
      <x:c r="E57" s="257" t="n">
        <x:v>490</x:v>
      </x:c>
      <x:c r="F57" s="257" t="n">
        <x:f t="shared" si="1">E57*D57</x:f>
        <x:v>2940</x:v>
      </x:c>
      <x:c r="G57" s="4" t="s">
        <x:v>10</x:v>
      </x:c>
    </x:row>
    <x:row r="58">
      <x:c r="A58" s="1">
        <x:v>55</x:v>
      </x:c>
      <x:c r="B58" s="75" t="s">
        <x:v>66</x:v>
      </x:c>
      <x:c r="C58" s="1" t="s">
        <x:v>16</x:v>
      </x:c>
      <x:c r="D58" s="1">
        <x:v>1</x:v>
      </x:c>
      <x:c r="E58" s="257" t="n">
        <x:v>7310</x:v>
      </x:c>
      <x:c r="F58" s="257" t="n">
        <x:f t="shared" si="1">E58*D58</x:f>
        <x:v>7310</x:v>
      </x:c>
      <x:c r="G58" s="4" t="s">
        <x:v>10</x:v>
      </x:c>
    </x:row>
    <x:row r="59">
      <x:c r="A59" s="1">
        <x:v>56</x:v>
      </x:c>
      <x:c r="B59" s="75" t="s">
        <x:v>67</x:v>
      </x:c>
      <x:c r="C59" s="1"/>
      <x:c r="D59" s="1">
        <x:v>1</x:v>
      </x:c>
      <x:c r="E59" s="257" t="n">
        <x:v>1460</x:v>
      </x:c>
      <x:c r="F59" s="257" t="n">
        <x:f t="shared" si="1">E59*D59</x:f>
        <x:v>1460</x:v>
      </x:c>
      <x:c r="G59" s="4" t="s">
        <x:v>10</x:v>
      </x:c>
    </x:row>
    <x:row r="60">
      <x:c r="A60" s="1">
        <x:v>57</x:v>
      </x:c>
      <x:c r="B60" s="75" t="s">
        <x:v>68</x:v>
      </x:c>
      <x:c r="C60" s="1"/>
      <x:c r="D60" s="1">
        <x:v>1</x:v>
      </x:c>
      <x:c r="E60" s="257"/>
      <x:c r="F60" s="257" t="n">
        <x:f t="shared" si="1">E60*D60</x:f>
        <x:v>0</x:v>
      </x:c>
      <x:c r="G60" s="4" t="s">
        <x:v>10</x:v>
      </x:c>
    </x:row>
    <x:row r="61" ht="41.25" customHeight="1">
      <x:c r="A61" s="79">
        <x:v>58</x:v>
      </x:c>
      <x:c r="B61" s="95" t="s">
        <x:v>69</x:v>
      </x:c>
      <x:c r="C61" s="79" t="s">
        <x:v>16</x:v>
      </x:c>
      <x:c r="D61" s="79">
        <x:v>3</x:v>
      </x:c>
      <x:c r="E61" s="257" t="n">
        <x:v>2450</x:v>
      </x:c>
      <x:c r="F61" s="257" t="n">
        <x:f t="shared" si="1">E61*D61</x:f>
        <x:v>7350</x:v>
      </x:c>
      <x:c r="G61" s="4" t="s">
        <x:v>10</x:v>
      </x:c>
    </x:row>
    <x:row r="62">
      <x:c r="A62" s="1">
        <x:v>59</x:v>
      </x:c>
      <x:c r="B62" s="75" t="s">
        <x:v>70</x:v>
      </x:c>
      <x:c r="C62" s="1"/>
      <x:c r="D62" s="1">
        <x:v>1</x:v>
      </x:c>
      <x:c r="E62" s="257" t="n">
        <x:v>2150</x:v>
      </x:c>
      <x:c r="F62" s="257" t="n">
        <x:f t="shared" si="1">E62*D62</x:f>
        <x:v>2150</x:v>
      </x:c>
      <x:c r="G62" s="4" t="s">
        <x:v>10</x:v>
      </x:c>
    </x:row>
    <x:row r="63" ht="28.799999237060547">
      <x:c r="A63" s="1">
        <x:v>60</x:v>
      </x:c>
      <x:c r="B63" s="75" t="s">
        <x:v>71</x:v>
      </x:c>
      <x:c r="C63" s="1"/>
      <x:c r="D63" s="1">
        <x:v>1</x:v>
      </x:c>
      <x:c r="E63" s="257" t="n">
        <x:v>2260</x:v>
      </x:c>
      <x:c r="F63" s="257" t="n">
        <x:f t="shared" si="1">E63*D63</x:f>
        <x:v>2260</x:v>
      </x:c>
      <x:c r="G63" s="4" t="s">
        <x:v>10</x:v>
      </x:c>
    </x:row>
    <x:row r="64">
      <x:c r="A64" s="1">
        <x:v>61</x:v>
      </x:c>
      <x:c r="B64" s="75" t="s">
        <x:v>72</x:v>
      </x:c>
      <x:c r="C64" s="1"/>
      <x:c r="D64" s="1">
        <x:v>1</x:v>
      </x:c>
      <x:c r="E64" s="257" t="n">
        <x:v>185</x:v>
      </x:c>
      <x:c r="F64" s="257" t="n">
        <x:f t="shared" si="1">E64*D64</x:f>
        <x:v>185</x:v>
      </x:c>
      <x:c r="G64" s="4" t="s">
        <x:v>10</x:v>
      </x:c>
    </x:row>
    <x:row r="65">
      <x:c r="A65" s="1">
        <x:v>62</x:v>
      </x:c>
      <x:c r="B65" s="75" t="s">
        <x:v>73</x:v>
      </x:c>
      <x:c r="C65" s="1"/>
      <x:c r="D65" s="1">
        <x:v>3</x:v>
      </x:c>
      <x:c r="E65" s="257" t="n">
        <x:v>119</x:v>
      </x:c>
      <x:c r="F65" s="257" t="n">
        <x:f t="shared" si="1">E65*D65</x:f>
        <x:v>357</x:v>
      </x:c>
      <x:c r="G65" s="4" t="s">
        <x:v>10</x:v>
      </x:c>
    </x:row>
    <x:row r="66">
      <x:c r="A66" s="1">
        <x:v>63</x:v>
      </x:c>
      <x:c r="B66" s="75" t="s">
        <x:v>74</x:v>
      </x:c>
      <x:c r="C66" s="1"/>
      <x:c r="D66" s="1">
        <x:v>1</x:v>
      </x:c>
      <x:c r="E66" s="257" t="n">
        <x:v>22</x:v>
      </x:c>
      <x:c r="F66" s="257" t="n">
        <x:f t="shared" si="1">E66*D66</x:f>
        <x:v>22</x:v>
      </x:c>
      <x:c r="G66" s="4" t="s">
        <x:v>10</x:v>
      </x:c>
    </x:row>
    <x:row r="67">
      <x:c r="A67" s="1">
        <x:v>64</x:v>
      </x:c>
      <x:c r="B67" s="75" t="s">
        <x:v>75</x:v>
      </x:c>
      <x:c r="C67" s="1"/>
      <x:c r="D67" s="1">
        <x:v>1</x:v>
      </x:c>
      <x:c r="E67" s="257" t="n">
        <x:v>440</x:v>
      </x:c>
      <x:c r="F67" s="257" t="n">
        <x:f t="shared" si="1">E67*D67</x:f>
        <x:v>440</x:v>
      </x:c>
      <x:c r="G67" s="4" t="s">
        <x:v>10</x:v>
      </x:c>
    </x:row>
    <x:row r="68">
      <x:c r="A68" s="1">
        <x:v>65</x:v>
      </x:c>
      <x:c r="B68" s="75" t="s">
        <x:v>76</x:v>
      </x:c>
      <x:c r="C68" s="1"/>
      <x:c r="D68" s="1">
        <x:v>1</x:v>
      </x:c>
      <x:c r="E68" s="257" t="n">
        <x:v>36</x:v>
      </x:c>
      <x:c r="F68" s="257" t="n">
        <x:f t="shared" ref="F68:F99" si="2">E68*D68</x:f>
        <x:v>36</x:v>
      </x:c>
      <x:c r="G68" s="4" t="s">
        <x:v>10</x:v>
      </x:c>
    </x:row>
    <x:row r="69">
      <x:c r="A69" s="1">
        <x:v>66</x:v>
      </x:c>
      <x:c r="B69" s="75" t="s">
        <x:v>77</x:v>
      </x:c>
      <x:c r="C69" s="1"/>
      <x:c r="D69" s="1">
        <x:v>1</x:v>
      </x:c>
      <x:c r="E69" s="257"/>
      <x:c r="F69" s="257" t="n">
        <x:f t="shared" si="2">E69*D69</x:f>
        <x:v>0</x:v>
      </x:c>
      <x:c r="G69" s="4" t="s">
        <x:v>10</x:v>
      </x:c>
    </x:row>
    <x:row r="70">
      <x:c r="A70" s="1">
        <x:v>67</x:v>
      </x:c>
      <x:c r="B70" s="75" t="s">
        <x:v>78</x:v>
      </x:c>
      <x:c r="C70" s="1"/>
      <x:c r="D70" s="1">
        <x:v>1</x:v>
      </x:c>
      <x:c r="E70" s="257"/>
      <x:c r="F70" s="257" t="n">
        <x:f t="shared" si="2">E70*D70</x:f>
        <x:v>0</x:v>
      </x:c>
      <x:c r="G70" s="4" t="s">
        <x:v>10</x:v>
      </x:c>
    </x:row>
    <x:row r="71">
      <x:c r="A71" s="1">
        <x:v>68</x:v>
      </x:c>
      <x:c r="B71" s="75" t="s">
        <x:v>79</x:v>
      </x:c>
      <x:c r="C71" s="1"/>
      <x:c r="D71" s="1">
        <x:v>1</x:v>
      </x:c>
      <x:c r="E71" s="257"/>
      <x:c r="F71" s="257" t="n">
        <x:f t="shared" si="2">E71*D71</x:f>
        <x:v>0</x:v>
      </x:c>
      <x:c r="G71" s="4" t="s">
        <x:v>10</x:v>
      </x:c>
    </x:row>
    <x:row r="72">
      <x:c r="A72" s="1">
        <x:v>69</x:v>
      </x:c>
      <x:c r="B72" s="94" t="s">
        <x:v>80</x:v>
      </x:c>
      <x:c r="C72" s="1"/>
      <x:c r="D72" s="1">
        <x:v>1</x:v>
      </x:c>
      <x:c r="E72" s="257"/>
      <x:c r="F72" s="257" t="n">
        <x:f t="shared" si="2">E72*D72</x:f>
        <x:v>0</x:v>
      </x:c>
      <x:c r="G72" s="4" t="s">
        <x:v>10</x:v>
      </x:c>
    </x:row>
    <x:row r="73">
      <x:c r="A73" s="1">
        <x:v>70</x:v>
      </x:c>
      <x:c r="B73" s="75" t="s">
        <x:v>81</x:v>
      </x:c>
      <x:c r="C73" s="1"/>
      <x:c r="D73" s="1">
        <x:v>1</x:v>
      </x:c>
      <x:c r="E73" s="257"/>
      <x:c r="F73" s="257" t="n">
        <x:f t="shared" si="2">E73*D73</x:f>
        <x:v>0</x:v>
      </x:c>
      <x:c r="G73" s="4" t="s">
        <x:v>10</x:v>
      </x:c>
    </x:row>
    <x:row r="74">
      <x:c r="A74" s="1">
        <x:v>71</x:v>
      </x:c>
      <x:c r="B74" s="75" t="s">
        <x:v>82</x:v>
      </x:c>
      <x:c r="C74" s="1"/>
      <x:c r="D74" s="1">
        <x:v>1</x:v>
      </x:c>
      <x:c r="E74" s="257"/>
      <x:c r="F74" s="257" t="n">
        <x:f t="shared" si="2">E74*D74</x:f>
        <x:v>0</x:v>
      </x:c>
      <x:c r="G74" s="4" t="s">
        <x:v>10</x:v>
      </x:c>
    </x:row>
    <x:row r="75">
      <x:c r="A75" s="1">
        <x:v>72</x:v>
      </x:c>
      <x:c r="B75" s="75" t="s">
        <x:v>83</x:v>
      </x:c>
      <x:c r="C75" s="1"/>
      <x:c r="D75" s="1">
        <x:v>1</x:v>
      </x:c>
      <x:c r="E75" s="257"/>
      <x:c r="F75" s="257" t="n">
        <x:f t="shared" si="2">E75*D75</x:f>
        <x:v>0</x:v>
      </x:c>
      <x:c r="G75" s="4" t="s">
        <x:v>10</x:v>
      </x:c>
    </x:row>
    <x:row r="76">
      <x:c r="A76" s="1">
        <x:v>73</x:v>
      </x:c>
      <x:c r="B76" s="75" t="s">
        <x:v>84</x:v>
      </x:c>
      <x:c r="C76" s="1"/>
      <x:c r="D76" s="1">
        <x:v>1</x:v>
      </x:c>
      <x:c r="E76" s="257"/>
      <x:c r="F76" s="257" t="n">
        <x:f t="shared" si="2">E76*D76</x:f>
        <x:v>0</x:v>
      </x:c>
      <x:c r="G76" s="4" t="s">
        <x:v>10</x:v>
      </x:c>
    </x:row>
    <x:row r="77">
      <x:c r="A77" s="1">
        <x:v>74</x:v>
      </x:c>
      <x:c r="B77" s="75" t="s">
        <x:v>85</x:v>
      </x:c>
      <x:c r="C77" s="1"/>
      <x:c r="D77" s="1">
        <x:v>1</x:v>
      </x:c>
      <x:c r="E77" s="257"/>
      <x:c r="F77" s="257" t="n">
        <x:f t="shared" si="2">E77*D77</x:f>
        <x:v>0</x:v>
      </x:c>
      <x:c r="G77" s="4" t="s">
        <x:v>10</x:v>
      </x:c>
    </x:row>
    <x:row r="78">
      <x:c r="A78" s="1">
        <x:v>75</x:v>
      </x:c>
      <x:c r="B78" s="75" t="s">
        <x:v>86</x:v>
      </x:c>
      <x:c r="C78" s="1"/>
      <x:c r="D78" s="1">
        <x:v>1</x:v>
      </x:c>
      <x:c r="E78" s="257"/>
      <x:c r="F78" s="257" t="n">
        <x:f t="shared" si="2">E78*D78</x:f>
        <x:v>0</x:v>
      </x:c>
      <x:c r="G78" s="4" t="s">
        <x:v>10</x:v>
      </x:c>
    </x:row>
    <x:row r="79">
      <x:c r="A79" s="1">
        <x:v>76</x:v>
      </x:c>
      <x:c r="B79" s="75" t="s">
        <x:v>87</x:v>
      </x:c>
      <x:c r="C79" s="1"/>
      <x:c r="D79" s="1">
        <x:v>1</x:v>
      </x:c>
      <x:c r="E79" s="257"/>
      <x:c r="F79" s="257" t="n">
        <x:f t="shared" si="2">E79*D79</x:f>
        <x:v>0</x:v>
      </x:c>
      <x:c r="G79" s="4" t="s">
        <x:v>10</x:v>
      </x:c>
    </x:row>
    <x:row r="80">
      <x:c r="A80" s="1">
        <x:v>77</x:v>
      </x:c>
      <x:c r="B80" s="75" t="s">
        <x:v>88</x:v>
      </x:c>
      <x:c r="C80" s="1"/>
      <x:c r="D80" s="1">
        <x:v>1</x:v>
      </x:c>
      <x:c r="E80" s="257"/>
      <x:c r="F80" s="257" t="n">
        <x:f t="shared" si="2">E80*D80</x:f>
        <x:v>0</x:v>
      </x:c>
      <x:c r="G80" s="4" t="s">
        <x:v>10</x:v>
      </x:c>
    </x:row>
    <x:row r="81">
      <x:c r="A81" s="1">
        <x:v>78</x:v>
      </x:c>
      <x:c r="B81" s="75" t="s">
        <x:v>89</x:v>
      </x:c>
      <x:c r="C81" s="1"/>
      <x:c r="D81" s="1">
        <x:v>1</x:v>
      </x:c>
      <x:c r="E81" s="257"/>
      <x:c r="F81" s="257" t="n">
        <x:f t="shared" si="2">E81*D81</x:f>
        <x:v>0</x:v>
      </x:c>
      <x:c r="G81" s="4" t="s">
        <x:v>10</x:v>
      </x:c>
    </x:row>
    <x:row r="82">
      <x:c r="A82" s="1">
        <x:v>79</x:v>
      </x:c>
      <x:c r="B82" s="80" t="s">
        <x:v>90</x:v>
      </x:c>
      <x:c r="C82" s="79" t="s">
        <x:v>16</x:v>
      </x:c>
      <x:c r="D82" s="79">
        <x:v>2</x:v>
      </x:c>
      <x:c r="E82" s="257" t="n">
        <x:v>1390</x:v>
      </x:c>
      <x:c r="F82" s="257" t="n">
        <x:f t="shared" si="2">E82*D82</x:f>
        <x:v>2780</x:v>
      </x:c>
      <x:c r="G82" s="4" t="s">
        <x:v>10</x:v>
      </x:c>
    </x:row>
    <x:row r="83">
      <x:c r="A83" s="1">
        <x:v>80</x:v>
      </x:c>
      <x:c r="B83" s="80" t="s">
        <x:v>91</x:v>
      </x:c>
      <x:c r="C83" s="79" t="s">
        <x:v>16</x:v>
      </x:c>
      <x:c r="D83" s="79">
        <x:v>1</x:v>
      </x:c>
      <x:c r="E83" s="257" t="n">
        <x:v>1980</x:v>
      </x:c>
      <x:c r="F83" s="257" t="n">
        <x:f t="shared" si="2">E83*D83</x:f>
        <x:v>1980</x:v>
      </x:c>
      <x:c r="G83" s="4" t="s">
        <x:v>10</x:v>
      </x:c>
    </x:row>
    <x:row r="84">
      <x:c r="A84" s="1">
        <x:v>81</x:v>
      </x:c>
      <x:c r="B84" s="75" t="s">
        <x:v>92</x:v>
      </x:c>
      <x:c r="C84" s="1"/>
      <x:c r="D84" s="1">
        <x:v>1</x:v>
      </x:c>
      <x:c r="E84" s="257"/>
      <x:c r="F84" s="257" t="n">
        <x:f t="shared" si="2">E84*D84</x:f>
        <x:v>0</x:v>
      </x:c>
      <x:c r="G84" s="4" t="s">
        <x:v>10</x:v>
      </x:c>
    </x:row>
    <x:row r="85">
      <x:c r="A85" s="1">
        <x:v>82</x:v>
      </x:c>
      <x:c r="B85" s="75" t="s">
        <x:v>93</x:v>
      </x:c>
      <x:c r="C85" s="1"/>
      <x:c r="D85" s="1">
        <x:v>2</x:v>
      </x:c>
      <x:c r="E85" s="257" t="n">
        <x:v>770</x:v>
      </x:c>
      <x:c r="F85" s="257" t="n">
        <x:f t="shared" si="2">E85*D85</x:f>
        <x:v>1540</x:v>
      </x:c>
      <x:c r="G85" s="4" t="s">
        <x:v>10</x:v>
      </x:c>
    </x:row>
    <x:row r="86" ht="28.799999237060547">
      <x:c r="A86" s="1">
        <x:v>83</x:v>
      </x:c>
      <x:c r="B86" s="75" t="s">
        <x:v>94</x:v>
      </x:c>
      <x:c r="C86" s="1"/>
      <x:c r="D86" s="1">
        <x:v>1</x:v>
      </x:c>
      <x:c r="E86" s="257" t="n">
        <x:v>39</x:v>
      </x:c>
      <x:c r="F86" s="257" t="n">
        <x:f t="shared" si="2">E86*D86</x:f>
        <x:v>39</x:v>
      </x:c>
      <x:c r="G86" s="4" t="s">
        <x:v>10</x:v>
      </x:c>
    </x:row>
    <x:row r="87">
      <x:c r="A87" s="1">
        <x:v>84</x:v>
      </x:c>
      <x:c r="B87" s="75" t="s">
        <x:v>95</x:v>
      </x:c>
      <x:c r="C87" s="1"/>
      <x:c r="D87" s="1">
        <x:v>12</x:v>
      </x:c>
      <x:c r="E87" s="257" t="n">
        <x:v>106</x:v>
      </x:c>
      <x:c r="F87" s="257" t="n">
        <x:f t="shared" si="2">E87*D87</x:f>
        <x:v>1272</x:v>
      </x:c>
      <x:c r="G87" s="4" t="s">
        <x:v>10</x:v>
      </x:c>
    </x:row>
    <x:row r="88">
      <x:c r="A88" s="1">
        <x:v>85</x:v>
      </x:c>
      <x:c r="B88" s="75" t="s">
        <x:v>96</x:v>
      </x:c>
      <x:c r="C88" s="1"/>
      <x:c r="D88" s="1">
        <x:v>3</x:v>
      </x:c>
      <x:c r="E88" s="257" t="n">
        <x:v>310</x:v>
      </x:c>
      <x:c r="F88" s="257" t="n">
        <x:f t="shared" si="2">E88*D88</x:f>
        <x:v>930</x:v>
      </x:c>
      <x:c r="G88" s="4" t="s">
        <x:v>10</x:v>
      </x:c>
    </x:row>
    <x:row r="89">
      <x:c r="A89" s="1">
        <x:v>86</x:v>
      </x:c>
      <x:c r="B89" s="75" t="s">
        <x:v>97</x:v>
      </x:c>
      <x:c r="C89" s="1"/>
      <x:c r="D89" s="1">
        <x:v>1</x:v>
      </x:c>
      <x:c r="E89" s="257" t="n">
        <x:v>48</x:v>
      </x:c>
      <x:c r="F89" s="257" t="n">
        <x:f t="shared" si="2">E89*D89</x:f>
        <x:v>48</x:v>
      </x:c>
      <x:c r="G89" s="4" t="s">
        <x:v>10</x:v>
      </x:c>
    </x:row>
    <x:row r="90">
      <x:c r="A90" s="1">
        <x:v>87</x:v>
      </x:c>
      <x:c r="B90" s="80" t="s">
        <x:v>98</x:v>
      </x:c>
      <x:c r="C90" s="79" t="s">
        <x:v>16</x:v>
      </x:c>
      <x:c r="D90" s="79">
        <x:v>2</x:v>
      </x:c>
      <x:c r="E90" s="257"/>
      <x:c r="F90" s="257" t="n">
        <x:f t="shared" si="2">E90*D90</x:f>
        <x:v>0</x:v>
      </x:c>
      <x:c r="G90" s="4" t="s">
        <x:v>10</x:v>
      </x:c>
    </x:row>
    <x:row r="91" ht="14.550000190734863" customHeight="1">
      <x:c r="A91" s="1">
        <x:v>88</x:v>
      </x:c>
      <x:c r="B91" s="80" t="s">
        <x:v>99</x:v>
      </x:c>
      <x:c r="C91" s="79"/>
      <x:c r="D91" s="79">
        <x:v>1</x:v>
      </x:c>
      <x:c r="E91" s="257" t="n">
        <x:v>105</x:v>
      </x:c>
      <x:c r="F91" s="257" t="n">
        <x:f t="shared" si="2">E91*D91</x:f>
        <x:v>105</x:v>
      </x:c>
      <x:c r="G91" s="4" t="s">
        <x:v>10</x:v>
      </x:c>
    </x:row>
    <x:row r="92">
      <x:c r="A92" s="1">
        <x:v>89</x:v>
      </x:c>
      <x:c r="B92" s="80" t="s">
        <x:v>100</x:v>
      </x:c>
      <x:c r="C92" s="79"/>
      <x:c r="D92" s="79">
        <x:v>1</x:v>
      </x:c>
      <x:c r="E92" s="257" t="n">
        <x:v>52</x:v>
      </x:c>
      <x:c r="F92" s="257" t="n">
        <x:f t="shared" si="2">E92*D92</x:f>
        <x:v>52</x:v>
      </x:c>
      <x:c r="G92" s="4" t="s">
        <x:v>10</x:v>
      </x:c>
    </x:row>
    <x:row r="93">
      <x:c r="A93" s="1">
        <x:v>90</x:v>
      </x:c>
      <x:c r="B93" s="80" t="s">
        <x:v>101</x:v>
      </x:c>
      <x:c r="C93" s="79"/>
      <x:c r="D93" s="79">
        <x:v>1</x:v>
      </x:c>
      <x:c r="E93" s="257" t="n">
        <x:v>860</x:v>
      </x:c>
      <x:c r="F93" s="257" t="n">
        <x:f t="shared" si="2">E93*D93</x:f>
        <x:v>860</x:v>
      </x:c>
      <x:c r="G93" s="4" t="s">
        <x:v>10</x:v>
      </x:c>
    </x:row>
    <x:row r="94">
      <x:c r="A94" s="1">
        <x:v>91</x:v>
      </x:c>
      <x:c r="B94" s="80" t="s">
        <x:v>102</x:v>
      </x:c>
      <x:c r="C94" s="79"/>
      <x:c r="D94" s="79">
        <x:v>1</x:v>
      </x:c>
      <x:c r="E94" s="257" t="n">
        <x:v>510</x:v>
      </x:c>
      <x:c r="F94" s="257" t="n">
        <x:f t="shared" si="2">E94*D94</x:f>
        <x:v>510</x:v>
      </x:c>
      <x:c r="G94" s="4" t="s">
        <x:v>10</x:v>
      </x:c>
      <x:c r="T94">
        <x:v>1900</x:v>
      </x:c>
    </x:row>
    <x:row r="95">
      <x:c r="A95" s="1">
        <x:v>92</x:v>
      </x:c>
      <x:c r="B95" s="80" t="s">
        <x:v>103</x:v>
      </x:c>
      <x:c r="C95" s="79"/>
      <x:c r="D95" s="79">
        <x:v>2</x:v>
      </x:c>
      <x:c r="E95" s="257" t="n">
        <x:v>313</x:v>
      </x:c>
      <x:c r="F95" s="257" t="n">
        <x:f t="shared" si="2">E95*D95</x:f>
        <x:v>626</x:v>
      </x:c>
      <x:c r="G95" s="4" t="s">
        <x:v>10</x:v>
      </x:c>
      <x:c r="T95">
        <x:v>1900</x:v>
      </x:c>
    </x:row>
    <x:row r="96" ht="18" customHeight="1">
      <x:c r="A96" s="1">
        <x:v>93</x:v>
      </x:c>
      <x:c r="B96" s="80" t="s">
        <x:v>104</x:v>
      </x:c>
      <x:c r="C96" s="79" t="s">
        <x:v>16</x:v>
      </x:c>
      <x:c r="D96" s="79">
        <x:v>1</x:v>
      </x:c>
      <x:c r="E96" s="257"/>
      <x:c r="F96" s="257" t="n">
        <x:f t="shared" si="2">E96*D96</x:f>
        <x:v>0</x:v>
      </x:c>
      <x:c r="G96" s="4" t="s">
        <x:v>10</x:v>
      </x:c>
      <x:c r="T96" t="n">
        <x:f>SUM(T94:T95)</x:f>
        <x:v>3800</x:v>
      </x:c>
    </x:row>
    <x:row r="97">
      <x:c r="A97" s="1">
        <x:v>94</x:v>
      </x:c>
      <x:c r="B97" s="80" t="s">
        <x:v>105</x:v>
      </x:c>
      <x:c r="C97" s="79" t="s">
        <x:v>16</x:v>
      </x:c>
      <x:c r="D97" s="79">
        <x:v>3</x:v>
      </x:c>
      <x:c r="E97" s="257" t="n">
        <x:v>380</x:v>
      </x:c>
      <x:c r="F97" s="257" t="n">
        <x:f t="shared" si="2">E97*D97</x:f>
        <x:v>1140</x:v>
      </x:c>
      <x:c r="G97" s="4" t="s">
        <x:v>10</x:v>
      </x:c>
      <x:c r="T97" t="n">
        <x:f>S98-T96</x:f>
        <x:v>767</x:v>
      </x:c>
    </x:row>
    <x:row r="98">
      <x:c r="A98" s="1">
        <x:v>95</x:v>
      </x:c>
      <x:c r="B98" s="75" t="s">
        <x:v>106</x:v>
      </x:c>
      <x:c r="C98" s="1"/>
      <x:c r="D98" s="1">
        <x:v>2</x:v>
      </x:c>
      <x:c r="E98" s="257" t="n">
        <x:v>4490</x:v>
      </x:c>
      <x:c r="F98" s="257" t="n">
        <x:f t="shared" si="2">E98*D98</x:f>
        <x:v>8980</x:v>
      </x:c>
      <x:c r="G98" s="4" t="s">
        <x:v>10</x:v>
      </x:c>
      <x:c r="S98">
        <x:v>4567</x:v>
      </x:c>
    </x:row>
    <x:row r="99">
      <x:c r="A99" s="1">
        <x:v>96</x:v>
      </x:c>
      <x:c r="B99" s="75" t="s">
        <x:v>107</x:v>
      </x:c>
      <x:c r="C99" s="1"/>
      <x:c r="D99" s="1">
        <x:v>1</x:v>
      </x:c>
      <x:c r="E99" s="257" t="n">
        <x:v>5150</x:v>
      </x:c>
      <x:c r="F99" s="257" t="n">
        <x:f t="shared" si="2">E99*D99</x:f>
        <x:v>5150</x:v>
      </x:c>
      <x:c r="G99" s="4" t="s">
        <x:v>10</x:v>
      </x:c>
    </x:row>
    <x:row r="100">
      <x:c r="A100" s="1">
        <x:v>97</x:v>
      </x:c>
      <x:c r="B100" s="80" t="s">
        <x:v>108</x:v>
      </x:c>
      <x:c r="C100" s="79"/>
      <x:c r="D100" s="79">
        <x:v>12</x:v>
      </x:c>
      <x:c r="E100" s="257" t="n">
        <x:v>119</x:v>
      </x:c>
      <x:c r="F100" s="257" t="n">
        <x:f t="shared" ref="F100:F103" si="3">E100*D100</x:f>
        <x:v>1428</x:v>
      </x:c>
      <x:c r="G100" s="4" t="s">
        <x:v>10</x:v>
      </x:c>
    </x:row>
    <x:row r="101">
      <x:c r="A101" s="1">
        <x:v>98</x:v>
      </x:c>
      <x:c r="B101" s="80" t="s">
        <x:v>109</x:v>
      </x:c>
      <x:c r="C101" s="79"/>
      <x:c r="D101" s="79">
        <x:v>12</x:v>
      </x:c>
      <x:c r="E101" s="257" t="n">
        <x:v>140</x:v>
      </x:c>
      <x:c r="F101" s="257" t="n">
        <x:f t="shared" si="3">E101*D101</x:f>
        <x:v>1680</x:v>
      </x:c>
      <x:c r="G101" s="4" t="s">
        <x:v>10</x:v>
      </x:c>
    </x:row>
    <x:row r="102">
      <x:c r="A102" s="1">
        <x:v>99</x:v>
      </x:c>
      <x:c r="B102" s="75" t="s">
        <x:v>110</x:v>
      </x:c>
      <x:c r="C102" s="1"/>
      <x:c r="D102" s="1">
        <x:v>1</x:v>
      </x:c>
      <x:c r="E102" s="257" t="n">
        <x:v>2110</x:v>
      </x:c>
      <x:c r="F102" s="257" t="n">
        <x:f t="shared" si="3">E102*D102</x:f>
        <x:v>2110</x:v>
      </x:c>
      <x:c r="G102" s="4" t="s">
        <x:v>10</x:v>
      </x:c>
    </x:row>
    <x:row r="103">
      <x:c r="A103" s="1">
        <x:v>100</x:v>
      </x:c>
      <x:c r="B103" s="75" t="s">
        <x:v>111</x:v>
      </x:c>
      <x:c r="C103" s="1"/>
      <x:c r="D103" s="1">
        <x:v>1</x:v>
      </x:c>
      <x:c r="E103" s="257" t="n">
        <x:v>49</x:v>
      </x:c>
      <x:c r="F103" s="257" t="n">
        <x:f t="shared" si="3">E103*D103</x:f>
        <x:v>49</x:v>
      </x:c>
      <x:c r="G103" s="4" t="s">
        <x:v>10</x:v>
      </x:c>
    </x:row>
    <x:row r="104">
      <x:c r="A104" s="4"/>
      <x:c r="B104" s="93" t="s">
        <x:v>112</x:v>
      </x:c>
      <x:c r="C104" s="92"/>
      <x:c r="D104" s="92"/>
      <x:c r="E104" s="259"/>
      <x:c r="F104" s="259" t="n">
        <x:f>SUM(F4:F103)</x:f>
        <x:v>132238.9</x:v>
      </x:c>
      <x:c r="G104" s="4"/>
    </x:row>
    <x:row r="105">
      <x:c r="A105" s="4"/>
      <x:c r="B105" s="90"/>
      <x:c r="C105" s="4"/>
      <x:c r="D105" s="4"/>
      <x:c r="G105" s="4"/>
    </x:row>
    <x:row r="106">
      <x:c r="A106" s="106" t="s">
        <x:v>113</x:v>
      </x:c>
      <x:c r="B106" s="107"/>
      <x:c r="C106" s="107"/>
      <x:c r="D106" s="107"/>
      <x:c r="E106" s="107"/>
      <x:c r="F106" s="107"/>
      <x:c r="G106" s="4"/>
    </x:row>
    <x:row r="107">
      <x:c r="A107" s="67" t="s">
        <x:v>2</x:v>
      </x:c>
      <x:c r="B107" s="68" t="s">
        <x:v>114</x:v>
      </x:c>
      <x:c r="C107" s="67" t="s">
        <x:v>4</x:v>
      </x:c>
      <x:c r="D107" s="67" t="s">
        <x:v>5</x:v>
      </x:c>
      <x:c r="E107" s="67" t="s">
        <x:v>115</x:v>
      </x:c>
      <x:c r="F107" s="67" t="s">
        <x:v>116</x:v>
      </x:c>
      <x:c r="G107" s="4"/>
    </x:row>
    <x:row r="108">
      <x:c r="A108" s="1">
        <x:v>101</x:v>
      </x:c>
      <x:c r="B108" s="75" t="s">
        <x:v>117</x:v>
      </x:c>
      <x:c r="C108" s="1"/>
      <x:c r="D108" s="1">
        <x:v>6</x:v>
      </x:c>
      <x:c r="E108" s="88">
        <x:v>250</x:v>
      </x:c>
      <x:c r="F108" s="89" t="n">
        <x:f t="shared" ref="F108:F114" si="4">E108*D108</x:f>
        <x:v>1500</x:v>
      </x:c>
      <x:c r="G108" s="4" t="s">
        <x:v>118</x:v>
      </x:c>
    </x:row>
    <x:row r="109" ht="18.75" customHeight="1">
      <x:c r="A109" s="1">
        <x:v>102</x:v>
      </x:c>
      <x:c r="B109" s="75" t="s">
        <x:v>119</x:v>
      </x:c>
      <x:c r="C109" s="1"/>
      <x:c r="D109" s="1">
        <x:v>6</x:v>
      </x:c>
      <x:c r="E109" s="88">
        <x:v>155</x:v>
      </x:c>
      <x:c r="F109" s="88">
        <x:f t="shared" si="4"/>
        <x:v>930</x:v>
      </x:c>
      <x:c r="G109" s="4" t="s">
        <x:v>118</x:v>
      </x:c>
    </x:row>
    <x:row r="110">
      <x:c r="A110" s="1">
        <x:v>103</x:v>
      </x:c>
      <x:c r="B110" s="75" t="s">
        <x:v>120</x:v>
      </x:c>
      <x:c r="C110" s="1"/>
      <x:c r="D110" s="1">
        <x:v>6</x:v>
      </x:c>
      <x:c r="E110" s="88">
        <x:v>45</x:v>
      </x:c>
      <x:c r="F110" s="88">
        <x:f t="shared" si="4"/>
        <x:v>270</x:v>
      </x:c>
      <x:c r="G110" s="4" t="s">
        <x:v>118</x:v>
      </x:c>
    </x:row>
    <x:row r="111" ht="27" customHeight="1">
      <x:c r="A111" s="1">
        <x:v>104</x:v>
      </x:c>
      <x:c r="B111" s="81" t="s">
        <x:v>121</x:v>
      </x:c>
      <x:c r="C111" s="1"/>
      <x:c r="D111" s="1">
        <x:v>1</x:v>
      </x:c>
      <x:c r="E111" s="32">
        <x:v>930</x:v>
      </x:c>
      <x:c r="F111" s="32">
        <x:f t="shared" si="4"/>
        <x:v>930</x:v>
      </x:c>
      <x:c r="G111" s="4" t="s">
        <x:v>118</x:v>
      </x:c>
    </x:row>
    <x:row r="112">
      <x:c r="A112" s="1">
        <x:v>105</x:v>
      </x:c>
      <x:c r="B112" s="75" t="s">
        <x:v>122</x:v>
      </x:c>
      <x:c r="C112" s="1"/>
      <x:c r="D112" s="1">
        <x:v>3</x:v>
      </x:c>
      <x:c r="E112" s="32">
        <x:v>550</x:v>
      </x:c>
      <x:c r="F112" s="32">
        <x:f t="shared" si="4"/>
        <x:v>1650</x:v>
      </x:c>
      <x:c r="G112" s="4" t="s">
        <x:v>118</x:v>
      </x:c>
    </x:row>
    <x:row r="113">
      <x:c r="A113" s="1">
        <x:v>106</x:v>
      </x:c>
      <x:c r="B113" s="75" t="s">
        <x:v>123</x:v>
      </x:c>
      <x:c r="C113" s="1"/>
      <x:c r="D113" s="1">
        <x:v>3</x:v>
      </x:c>
      <x:c r="E113" s="32">
        <x:v>150</x:v>
      </x:c>
      <x:c r="F113" s="32">
        <x:f t="shared" si="4"/>
        <x:v>450</x:v>
      </x:c>
      <x:c r="G113" s="4" t="s">
        <x:v>118</x:v>
      </x:c>
    </x:row>
    <x:row r="114">
      <x:c r="A114" s="1">
        <x:v>107</x:v>
      </x:c>
      <x:c r="B114" s="75" t="s">
        <x:v>124</x:v>
      </x:c>
      <x:c r="C114" s="1"/>
      <x:c r="D114" s="1">
        <x:v>3</x:v>
      </x:c>
      <x:c r="E114" s="32">
        <x:v>390</x:v>
      </x:c>
      <x:c r="F114" s="32">
        <x:f t="shared" si="4"/>
        <x:v>1170</x:v>
      </x:c>
      <x:c r="G114" s="4" t="s">
        <x:v>118</x:v>
      </x:c>
    </x:row>
    <x:row r="115">
      <x:c r="A115" s="84"/>
      <x:c r="B115" s="85" t="s">
        <x:v>112</x:v>
      </x:c>
      <x:c r="C115" s="84"/>
      <x:c r="D115" s="84"/>
      <x:c r="E115" s="83"/>
      <x:c r="F115" s="82" t="n">
        <x:f>SUM(F108:F114)</x:f>
        <x:v>6900</x:v>
      </x:c>
      <x:c r="G115" s="4"/>
    </x:row>
    <x:row r="116">
      <x:c r="A116" s="1"/>
      <x:c r="B116" s="75"/>
      <x:c r="C116" s="1"/>
      <x:c r="D116" s="1"/>
      <x:c r="E116" s="32"/>
    </x:row>
    <x:row r="117">
      <x:c r="A117" s="106" t="s">
        <x:v>125</x:v>
      </x:c>
      <x:c r="B117" s="107"/>
      <x:c r="C117" s="107"/>
      <x:c r="D117" s="107"/>
      <x:c r="E117" s="107"/>
      <x:c r="F117" s="107"/>
    </x:row>
    <x:row r="118">
      <x:c r="A118" s="67" t="s">
        <x:v>2</x:v>
      </x:c>
      <x:c r="B118" s="68" t="s">
        <x:v>114</x:v>
      </x:c>
      <x:c r="C118" s="67" t="s">
        <x:v>4</x:v>
      </x:c>
      <x:c r="D118" s="67" t="s">
        <x:v>5</x:v>
      </x:c>
      <x:c r="E118" s="67" t="s">
        <x:v>115</x:v>
      </x:c>
      <x:c r="F118" s="67" t="s">
        <x:v>116</x:v>
      </x:c>
    </x:row>
    <x:row r="119">
      <x:c r="A119" s="1">
        <x:v>108</x:v>
      </x:c>
      <x:c r="B119" s="75" t="s">
        <x:v>126</x:v>
      </x:c>
      <x:c r="C119" s="1"/>
      <x:c r="D119" s="1">
        <x:v>3</x:v>
      </x:c>
      <x:c r="E119" s="34">
        <x:v>80</x:v>
      </x:c>
      <x:c r="F119" s="34" t="n">
        <x:f t="shared" ref="F119:F131" si="5">E119*D119</x:f>
        <x:v>240</x:v>
      </x:c>
      <x:c r="G119" s="4" t="s">
        <x:v>118</x:v>
      </x:c>
    </x:row>
    <x:row r="120">
      <x:c r="A120" s="1">
        <x:v>109</x:v>
      </x:c>
      <x:c r="B120" s="75" t="s">
        <x:v>127</x:v>
      </x:c>
      <x:c r="C120" s="1"/>
      <x:c r="D120" s="1">
        <x:v>3</x:v>
      </x:c>
      <x:c r="E120" s="34">
        <x:v>1900</x:v>
      </x:c>
      <x:c r="F120" s="34">
        <x:f t="shared" si="5"/>
        <x:v>5700</x:v>
      </x:c>
      <x:c r="G120" s="4" t="s">
        <x:v>118</x:v>
      </x:c>
    </x:row>
    <x:row r="121">
      <x:c r="A121" s="1">
        <x:v>110</x:v>
      </x:c>
      <x:c r="B121" s="29" t="s">
        <x:v>128</x:v>
      </x:c>
      <x:c r="C121" s="1"/>
      <x:c r="D121" s="1">
        <x:v>3</x:v>
      </x:c>
      <x:c r="E121" s="34">
        <x:v>2350</x:v>
      </x:c>
      <x:c r="F121" s="34">
        <x:f t="shared" si="5"/>
        <x:v>7050</x:v>
      </x:c>
      <x:c r="G121" s="4" t="s">
        <x:v>118</x:v>
      </x:c>
    </x:row>
    <x:row r="122">
      <x:c r="A122" s="1">
        <x:v>111</x:v>
      </x:c>
      <x:c r="B122" s="29" t="s">
        <x:v>129</x:v>
      </x:c>
      <x:c r="C122" s="1"/>
      <x:c r="D122" s="1">
        <x:v>4</x:v>
      </x:c>
      <x:c r="E122" s="34">
        <x:v>1750</x:v>
      </x:c>
      <x:c r="F122" s="34">
        <x:f t="shared" si="5"/>
        <x:v>7000</x:v>
      </x:c>
      <x:c r="G122" s="4" t="s">
        <x:v>118</x:v>
      </x:c>
    </x:row>
    <x:row r="123">
      <x:c r="A123" s="1">
        <x:v>112</x:v>
      </x:c>
      <x:c r="B123" s="29" t="s">
        <x:v>130</x:v>
      </x:c>
      <x:c r="C123" s="1"/>
      <x:c r="D123" s="1">
        <x:v>5</x:v>
      </x:c>
      <x:c r="E123" s="34">
        <x:v>590</x:v>
      </x:c>
      <x:c r="F123" s="34">
        <x:f t="shared" si="5"/>
        <x:v>2950</x:v>
      </x:c>
      <x:c r="G123" s="4" t="s">
        <x:v>118</x:v>
      </x:c>
    </x:row>
    <x:row r="124">
      <x:c r="A124" s="1">
        <x:v>113</x:v>
      </x:c>
      <x:c r="B124" s="29" t="s">
        <x:v>131</x:v>
      </x:c>
      <x:c r="C124" s="1"/>
      <x:c r="D124" s="1">
        <x:v>6</x:v>
      </x:c>
      <x:c r="E124" s="34">
        <x:v>18</x:v>
      </x:c>
      <x:c r="F124" s="34">
        <x:f t="shared" si="5"/>
        <x:v>108</x:v>
      </x:c>
      <x:c r="G124" s="4" t="s">
        <x:v>118</x:v>
      </x:c>
    </x:row>
    <x:row r="125">
      <x:c r="A125" s="1">
        <x:v>114</x:v>
      </x:c>
      <x:c r="B125" s="29" t="s">
        <x:v>132</x:v>
      </x:c>
      <x:c r="C125" s="1"/>
      <x:c r="D125" s="1">
        <x:v>3</x:v>
      </x:c>
      <x:c r="E125" s="34">
        <x:v>30</x:v>
      </x:c>
      <x:c r="F125" s="34">
        <x:f t="shared" si="5"/>
        <x:v>90</x:v>
      </x:c>
      <x:c r="G125" s="4" t="s">
        <x:v>118</x:v>
      </x:c>
    </x:row>
    <x:row r="126">
      <x:c r="A126" s="1">
        <x:v>115</x:v>
      </x:c>
      <x:c r="B126" s="87" t="s">
        <x:v>133</x:v>
      </x:c>
      <x:c r="C126" s="79" t="s">
        <x:v>16</x:v>
      </x:c>
      <x:c r="D126" s="79">
        <x:v>3</x:v>
      </x:c>
      <x:c r="E126" s="34">
        <x:v>995</x:v>
      </x:c>
      <x:c r="F126" s="34">
        <x:f t="shared" si="5"/>
        <x:v>2985</x:v>
      </x:c>
      <x:c r="G126" s="4" t="s">
        <x:v>118</x:v>
      </x:c>
    </x:row>
    <x:row r="127">
      <x:c r="A127" s="1">
        <x:v>116</x:v>
      </x:c>
      <x:c r="B127" s="87" t="s">
        <x:v>134</x:v>
      </x:c>
      <x:c r="C127" s="79" t="s">
        <x:v>16</x:v>
      </x:c>
      <x:c r="D127" s="79">
        <x:v>3</x:v>
      </x:c>
      <x:c r="E127" s="34">
        <x:v>1980</x:v>
      </x:c>
      <x:c r="F127" s="34">
        <x:f t="shared" si="5"/>
        <x:v>5940</x:v>
      </x:c>
      <x:c r="G127" s="4" t="s">
        <x:v>118</x:v>
      </x:c>
    </x:row>
    <x:row r="128">
      <x:c r="A128" s="1">
        <x:v>117</x:v>
      </x:c>
      <x:c r="B128" s="86" t="s">
        <x:v>135</x:v>
      </x:c>
      <x:c r="C128" s="1" t="s">
        <x:v>16</x:v>
      </x:c>
      <x:c r="D128" s="1">
        <x:v>6</x:v>
      </x:c>
      <x:c r="E128" s="32">
        <x:v>140</x:v>
      </x:c>
      <x:c r="F128" s="32">
        <x:f t="shared" si="5"/>
        <x:v>840</x:v>
      </x:c>
      <x:c r="G128" s="4" t="s">
        <x:v>118</x:v>
      </x:c>
    </x:row>
    <x:row r="129">
      <x:c r="A129" s="1">
        <x:v>118</x:v>
      </x:c>
      <x:c r="B129" s="75" t="s">
        <x:v>136</x:v>
      </x:c>
      <x:c r="C129" s="1"/>
      <x:c r="D129" s="1">
        <x:v>3</x:v>
      </x:c>
      <x:c r="E129" s="32">
        <x:v>6</x:v>
      </x:c>
      <x:c r="F129" s="32">
        <x:f t="shared" si="5"/>
        <x:v>18</x:v>
      </x:c>
      <x:c r="G129" s="4" t="s">
        <x:v>118</x:v>
      </x:c>
    </x:row>
    <x:row r="130">
      <x:c r="A130" s="1">
        <x:v>119</x:v>
      </x:c>
      <x:c r="B130" s="75" t="s">
        <x:v>137</x:v>
      </x:c>
      <x:c r="C130" s="1"/>
      <x:c r="D130" s="1">
        <x:v>3</x:v>
      </x:c>
      <x:c r="E130" s="32">
        <x:v>60</x:v>
      </x:c>
      <x:c r="F130" s="32">
        <x:f t="shared" si="5"/>
        <x:v>180</x:v>
      </x:c>
      <x:c r="G130" s="4" t="s">
        <x:v>118</x:v>
      </x:c>
    </x:row>
    <x:row r="131">
      <x:c r="A131" s="1">
        <x:v>120</x:v>
      </x:c>
      <x:c r="B131" s="75" t="s">
        <x:v>138</x:v>
      </x:c>
      <x:c r="C131" s="1"/>
      <x:c r="D131" s="1">
        <x:v>1</x:v>
      </x:c>
      <x:c r="E131" s="32">
        <x:v>12</x:v>
      </x:c>
      <x:c r="F131" s="32">
        <x:f t="shared" si="5"/>
        <x:v>12</x:v>
      </x:c>
      <x:c r="G131" s="4" t="s">
        <x:v>118</x:v>
      </x:c>
    </x:row>
    <x:row r="132">
      <x:c r="A132" s="84"/>
      <x:c r="B132" s="85" t="s">
        <x:v>112</x:v>
      </x:c>
      <x:c r="C132" s="84"/>
      <x:c r="D132" s="84"/>
      <x:c r="E132" s="83"/>
      <x:c r="F132" s="82" t="n">
        <x:f>SUM(F119:F131)</x:f>
        <x:v>33113</x:v>
      </x:c>
      <x:c r="G132" s="4"/>
    </x:row>
    <x:row r="133">
      <x:c r="A133" s="1"/>
      <x:c r="B133" s="75"/>
      <x:c r="C133" s="1"/>
      <x:c r="D133" s="1"/>
      <x:c r="E133" s="29"/>
    </x:row>
    <x:row r="134">
      <x:c r="A134" s="106" t="s">
        <x:v>139</x:v>
      </x:c>
      <x:c r="B134" s="107"/>
      <x:c r="C134" s="107"/>
      <x:c r="D134" s="107"/>
      <x:c r="E134" s="107"/>
      <x:c r="F134" s="107"/>
    </x:row>
    <x:row r="135">
      <x:c r="A135" s="67" t="s">
        <x:v>2</x:v>
      </x:c>
      <x:c r="B135" s="68" t="s">
        <x:v>114</x:v>
      </x:c>
      <x:c r="C135" s="67" t="s">
        <x:v>4</x:v>
      </x:c>
      <x:c r="D135" s="67" t="s">
        <x:v>5</x:v>
      </x:c>
      <x:c r="E135" s="67" t="s">
        <x:v>115</x:v>
      </x:c>
      <x:c r="F135" s="67" t="s">
        <x:v>116</x:v>
      </x:c>
    </x:row>
    <x:row r="136">
      <x:c r="A136" s="1">
        <x:v>121</x:v>
      </x:c>
      <x:c r="B136" s="75" t="s">
        <x:v>140</x:v>
      </x:c>
      <x:c r="C136" s="1" t="s">
        <x:v>16</x:v>
      </x:c>
      <x:c r="D136" s="1">
        <x:v>1</x:v>
      </x:c>
      <x:c r="E136" s="34">
        <x:v>650</x:v>
      </x:c>
      <x:c r="F136" s="34" t="n">
        <x:f t="shared" ref="F136:F169" si="6">E136*D136</x:f>
        <x:v>650</x:v>
      </x:c>
      <x:c r="G136" s="4" t="s">
        <x:v>10</x:v>
      </x:c>
    </x:row>
    <x:row r="137">
      <x:c r="A137" s="1">
        <x:v>122</x:v>
      </x:c>
      <x:c r="B137" s="80" t="s">
        <x:v>141</x:v>
      </x:c>
      <x:c r="C137" s="79" t="s">
        <x:v>16</x:v>
      </x:c>
      <x:c r="D137" s="79">
        <x:v>1</x:v>
      </x:c>
      <x:c r="E137" s="32">
        <x:v>630</x:v>
      </x:c>
      <x:c r="F137" s="34">
        <x:f t="shared" si="6"/>
        <x:v>630</x:v>
      </x:c>
      <x:c r="G137" s="4" t="s">
        <x:v>10</x:v>
      </x:c>
    </x:row>
    <x:row r="138">
      <x:c r="A138" s="1">
        <x:v>123</x:v>
      </x:c>
      <x:c r="B138" s="80" t="s">
        <x:v>142</x:v>
      </x:c>
      <x:c r="C138" s="79" t="s">
        <x:v>16</x:v>
      </x:c>
      <x:c r="D138" s="79">
        <x:v>3</x:v>
      </x:c>
      <x:c r="E138" s="32">
        <x:v>280</x:v>
      </x:c>
      <x:c r="F138" s="34">
        <x:f t="shared" si="6"/>
        <x:v>840</x:v>
      </x:c>
      <x:c r="G138" s="4" t="s">
        <x:v>10</x:v>
      </x:c>
    </x:row>
    <x:row r="139">
      <x:c r="A139" s="1">
        <x:v>124</x:v>
      </x:c>
      <x:c r="B139" s="80" t="s">
        <x:v>143</x:v>
      </x:c>
      <x:c r="C139" s="79" t="s">
        <x:v>16</x:v>
      </x:c>
      <x:c r="D139" s="79">
        <x:v>6</x:v>
      </x:c>
      <x:c r="E139" s="32">
        <x:v>245</x:v>
      </x:c>
      <x:c r="F139" s="34">
        <x:f t="shared" si="6"/>
        <x:v>1470</x:v>
      </x:c>
      <x:c r="G139" s="4" t="s">
        <x:v>10</x:v>
      </x:c>
    </x:row>
    <x:row r="140">
      <x:c r="A140" s="1">
        <x:v>125</x:v>
      </x:c>
      <x:c r="B140" s="80" t="s">
        <x:v>144</x:v>
      </x:c>
      <x:c r="C140" s="79" t="s">
        <x:v>16</x:v>
      </x:c>
      <x:c r="D140" s="79">
        <x:v>9</x:v>
      </x:c>
      <x:c r="E140" s="32">
        <x:v>260</x:v>
      </x:c>
      <x:c r="F140" s="34">
        <x:f t="shared" si="6"/>
        <x:v>2340</x:v>
      </x:c>
      <x:c r="G140" s="4" t="s">
        <x:v>10</x:v>
      </x:c>
    </x:row>
    <x:row r="141">
      <x:c r="A141" s="1">
        <x:v>126</x:v>
      </x:c>
      <x:c r="B141" s="80" t="s">
        <x:v>145</x:v>
      </x:c>
      <x:c r="C141" s="79" t="s">
        <x:v>16</x:v>
      </x:c>
      <x:c r="D141" s="79">
        <x:v>2</x:v>
      </x:c>
      <x:c r="E141" s="32">
        <x:v>950</x:v>
      </x:c>
      <x:c r="F141" s="34">
        <x:f t="shared" si="6"/>
        <x:v>1900</x:v>
      </x:c>
      <x:c r="G141" s="4" t="s">
        <x:v>10</x:v>
      </x:c>
    </x:row>
    <x:row r="142">
      <x:c r="A142" s="1">
        <x:v>127</x:v>
      </x:c>
      <x:c r="B142" s="80" t="s">
        <x:v>146</x:v>
      </x:c>
      <x:c r="C142" s="79" t="s">
        <x:v>16</x:v>
      </x:c>
      <x:c r="D142" s="79">
        <x:v>3</x:v>
      </x:c>
      <x:c r="E142" s="32">
        <x:v>7900</x:v>
      </x:c>
      <x:c r="F142" s="34">
        <x:f t="shared" si="6"/>
        <x:v>23700</x:v>
      </x:c>
      <x:c r="G142" s="4" t="s">
        <x:v>10</x:v>
      </x:c>
    </x:row>
    <x:row r="143">
      <x:c r="A143" s="1">
        <x:v>128</x:v>
      </x:c>
      <x:c r="B143" s="80" t="s">
        <x:v>147</x:v>
      </x:c>
      <x:c r="C143" s="79" t="s">
        <x:v>16</x:v>
      </x:c>
      <x:c r="D143" s="79">
        <x:v>6</x:v>
      </x:c>
      <x:c r="E143" s="32">
        <x:v>350</x:v>
      </x:c>
      <x:c r="F143" s="34">
        <x:f t="shared" si="6"/>
        <x:v>2100</x:v>
      </x:c>
      <x:c r="G143" s="4" t="s">
        <x:v>10</x:v>
      </x:c>
    </x:row>
    <x:row r="144">
      <x:c r="A144" s="1">
        <x:v>129</x:v>
      </x:c>
      <x:c r="B144" s="80" t="s">
        <x:v>148</x:v>
      </x:c>
      <x:c r="C144" s="79" t="s">
        <x:v>16</x:v>
      </x:c>
      <x:c r="D144" s="79">
        <x:v>12</x:v>
      </x:c>
      <x:c r="E144" s="32">
        <x:v>310</x:v>
      </x:c>
      <x:c r="F144" s="34">
        <x:f t="shared" si="6"/>
        <x:v>3720</x:v>
      </x:c>
      <x:c r="G144" s="4" t="s">
        <x:v>10</x:v>
      </x:c>
    </x:row>
    <x:row r="145">
      <x:c r="A145" s="1">
        <x:v>130</x:v>
      </x:c>
      <x:c r="B145" s="80" t="s">
        <x:v>149</x:v>
      </x:c>
      <x:c r="C145" s="79" t="s">
        <x:v>16</x:v>
      </x:c>
      <x:c r="D145" s="79">
        <x:v>12</x:v>
      </x:c>
      <x:c r="E145" s="32">
        <x:v>450</x:v>
      </x:c>
      <x:c r="F145" s="34">
        <x:f t="shared" si="6"/>
        <x:v>5400</x:v>
      </x:c>
      <x:c r="G145" s="4" t="s">
        <x:v>10</x:v>
      </x:c>
    </x:row>
    <x:row r="146">
      <x:c r="A146" s="1">
        <x:v>131</x:v>
      </x:c>
      <x:c r="B146" s="80" t="s">
        <x:v>150</x:v>
      </x:c>
      <x:c r="C146" s="79" t="s">
        <x:v>16</x:v>
      </x:c>
      <x:c r="D146" s="79">
        <x:v>6</x:v>
      </x:c>
      <x:c r="E146" s="32">
        <x:v>515</x:v>
      </x:c>
      <x:c r="F146" s="34">
        <x:f t="shared" si="6"/>
        <x:v>3090</x:v>
      </x:c>
      <x:c r="G146" s="4" t="s">
        <x:v>10</x:v>
      </x:c>
    </x:row>
    <x:row r="147">
      <x:c r="A147" s="1">
        <x:v>132</x:v>
      </x:c>
      <x:c r="B147" s="80" t="s">
        <x:v>151</x:v>
      </x:c>
      <x:c r="C147" s="79" t="s">
        <x:v>16</x:v>
      </x:c>
      <x:c r="D147" s="79">
        <x:v>1</x:v>
      </x:c>
      <x:c r="E147" s="32">
        <x:v>642.71</x:v>
      </x:c>
      <x:c r="F147" s="34">
        <x:f t="shared" si="6"/>
        <x:v>642.71</x:v>
      </x:c>
      <x:c r="G147" s="4" t="s">
        <x:v>10</x:v>
      </x:c>
    </x:row>
    <x:row r="148">
      <x:c r="A148" s="1">
        <x:v>133</x:v>
      </x:c>
      <x:c r="B148" s="80" t="s">
        <x:v>152</x:v>
      </x:c>
      <x:c r="C148" s="79" t="s">
        <x:v>16</x:v>
      </x:c>
      <x:c r="D148" s="79">
        <x:v>1</x:v>
      </x:c>
      <x:c r="E148" s="32">
        <x:v>526.01</x:v>
      </x:c>
      <x:c r="F148" s="34">
        <x:f t="shared" si="6"/>
        <x:v>526.01</x:v>
      </x:c>
      <x:c r="G148" s="4" t="s">
        <x:v>10</x:v>
      </x:c>
    </x:row>
    <x:row r="149">
      <x:c r="A149" s="1">
        <x:v>134</x:v>
      </x:c>
      <x:c r="B149" s="80" t="s">
        <x:v>153</x:v>
      </x:c>
      <x:c r="C149" s="79" t="s">
        <x:v>16</x:v>
      </x:c>
      <x:c r="D149" s="79">
        <x:v>3</x:v>
      </x:c>
      <x:c r="E149" s="32">
        <x:v>351.91</x:v>
      </x:c>
      <x:c r="F149" s="34">
        <x:f t="shared" si="6"/>
        <x:v>1055.73</x:v>
      </x:c>
      <x:c r="G149" s="4" t="s">
        <x:v>10</x:v>
      </x:c>
    </x:row>
    <x:row r="150">
      <x:c r="A150" s="1">
        <x:v>135</x:v>
      </x:c>
      <x:c r="B150" s="80" t="s">
        <x:v>154</x:v>
      </x:c>
      <x:c r="C150" s="79" t="s">
        <x:v>16</x:v>
      </x:c>
      <x:c r="D150" s="79">
        <x:v>1</x:v>
      </x:c>
      <x:c r="E150" s="32">
        <x:v>630</x:v>
      </x:c>
      <x:c r="F150" s="34">
        <x:f t="shared" si="6"/>
        <x:v>630</x:v>
      </x:c>
      <x:c r="G150" s="4" t="s">
        <x:v>10</x:v>
      </x:c>
    </x:row>
    <x:row r="151">
      <x:c r="A151" s="1">
        <x:v>136</x:v>
      </x:c>
      <x:c r="B151" s="80" t="s">
        <x:v>155</x:v>
      </x:c>
      <x:c r="C151" s="79" t="s">
        <x:v>16</x:v>
      </x:c>
      <x:c r="D151" s="79">
        <x:v>2</x:v>
      </x:c>
      <x:c r="E151" s="32">
        <x:v>796.06</x:v>
      </x:c>
      <x:c r="F151" s="34">
        <x:f t="shared" si="6"/>
        <x:v>1592.12</x:v>
      </x:c>
      <x:c r="G151" s="4" t="s">
        <x:v>10</x:v>
      </x:c>
    </x:row>
    <x:row r="152">
      <x:c r="A152" s="1">
        <x:v>137</x:v>
      </x:c>
      <x:c r="B152" s="80" t="s">
        <x:v>156</x:v>
      </x:c>
      <x:c r="C152" s="79" t="s">
        <x:v>16</x:v>
      </x:c>
      <x:c r="D152" s="79">
        <x:v>9</x:v>
      </x:c>
      <x:c r="E152" s="32">
        <x:v>515</x:v>
      </x:c>
      <x:c r="F152" s="34">
        <x:f t="shared" si="6"/>
        <x:v>4635</x:v>
      </x:c>
      <x:c r="G152" s="4" t="s">
        <x:v>10</x:v>
      </x:c>
    </x:row>
    <x:row r="153">
      <x:c r="A153" s="1">
        <x:v>138</x:v>
      </x:c>
      <x:c r="B153" s="80" t="s">
        <x:v>157</x:v>
      </x:c>
      <x:c r="C153" s="79" t="s">
        <x:v>16</x:v>
      </x:c>
      <x:c r="D153" s="79">
        <x:v>3</x:v>
      </x:c>
      <x:c r="E153" s="32">
        <x:v>815</x:v>
      </x:c>
      <x:c r="F153" s="34">
        <x:f t="shared" si="6"/>
        <x:v>2445</x:v>
      </x:c>
      <x:c r="G153" s="4" t="s">
        <x:v>10</x:v>
      </x:c>
    </x:row>
    <x:row r="154">
      <x:c r="A154" s="1">
        <x:v>139</x:v>
      </x:c>
      <x:c r="B154" s="80" t="s">
        <x:v>158</x:v>
      </x:c>
      <x:c r="C154" s="79" t="s">
        <x:v>16</x:v>
      </x:c>
      <x:c r="D154" s="79">
        <x:v>1</x:v>
      </x:c>
      <x:c r="E154" s="32">
        <x:v>389.25</x:v>
      </x:c>
      <x:c r="F154" s="34">
        <x:f t="shared" si="6"/>
        <x:v>389.25</x:v>
      </x:c>
      <x:c r="G154" s="4" t="s">
        <x:v>10</x:v>
      </x:c>
    </x:row>
    <x:row r="155">
      <x:c r="A155" s="1">
        <x:v>140</x:v>
      </x:c>
      <x:c r="B155" s="80" t="s">
        <x:v>159</x:v>
      </x:c>
      <x:c r="C155" s="79" t="s">
        <x:v>16</x:v>
      </x:c>
      <x:c r="D155" s="79">
        <x:v>1</x:v>
      </x:c>
      <x:c r="E155" s="32">
        <x:v>422.29</x:v>
      </x:c>
      <x:c r="F155" s="34">
        <x:f t="shared" si="6"/>
        <x:v>422.29</x:v>
      </x:c>
      <x:c r="G155" s="4" t="s">
        <x:v>10</x:v>
      </x:c>
    </x:row>
    <x:row r="156">
      <x:c r="A156" s="1">
        <x:v>141</x:v>
      </x:c>
      <x:c r="B156" s="75" t="s">
        <x:v>160</x:v>
      </x:c>
      <x:c r="C156" s="1"/>
      <x:c r="D156" s="1">
        <x:v>8</x:v>
      </x:c>
      <x:c r="E156" s="32">
        <x:v>99</x:v>
      </x:c>
      <x:c r="F156" s="32">
        <x:f t="shared" si="6"/>
        <x:v>792</x:v>
      </x:c>
      <x:c r="G156" s="4" t="s">
        <x:v>10</x:v>
      </x:c>
    </x:row>
    <x:row r="157">
      <x:c r="A157" s="1">
        <x:v>142</x:v>
      </x:c>
      <x:c r="B157" s="75" t="s">
        <x:v>161</x:v>
      </x:c>
      <x:c r="C157" s="1"/>
      <x:c r="D157" s="1">
        <x:v>2</x:v>
      </x:c>
      <x:c r="E157" s="32">
        <x:v>3434.51</x:v>
      </x:c>
      <x:c r="F157" s="32">
        <x:f t="shared" si="6"/>
        <x:v>6869.02</x:v>
      </x:c>
      <x:c r="G157" s="4" t="s">
        <x:v>10</x:v>
      </x:c>
    </x:row>
    <x:row r="158" ht="27.600000381469727">
      <x:c r="A158" s="1">
        <x:v>143</x:v>
      </x:c>
      <x:c r="B158" s="81" t="s">
        <x:v>162</x:v>
      </x:c>
      <x:c r="C158" s="1"/>
      <x:c r="D158" s="1">
        <x:v>2</x:v>
      </x:c>
      <x:c r="E158" s="32">
        <x:v>878.76</x:v>
      </x:c>
      <x:c r="F158" s="32">
        <x:f t="shared" si="6"/>
        <x:v>1757.52</x:v>
      </x:c>
      <x:c r="G158" s="4" t="s">
        <x:v>10</x:v>
      </x:c>
    </x:row>
    <x:row r="159">
      <x:c r="A159" s="1">
        <x:v>144</x:v>
      </x:c>
      <x:c r="B159" s="75" t="s">
        <x:v>163</x:v>
      </x:c>
      <x:c r="C159" s="1" t="s">
        <x:v>16</x:v>
      </x:c>
      <x:c r="D159" s="1">
        <x:v>1</x:v>
      </x:c>
      <x:c r="E159" s="32">
        <x:v>962.77</x:v>
      </x:c>
      <x:c r="F159" s="32">
        <x:f t="shared" si="6"/>
        <x:v>962.77</x:v>
      </x:c>
      <x:c r="G159" s="4" t="s">
        <x:v>10</x:v>
      </x:c>
    </x:row>
    <x:row r="160">
      <x:c r="A160" s="1">
        <x:v>145</x:v>
      </x:c>
      <x:c r="B160" s="75" t="s">
        <x:v>164</x:v>
      </x:c>
      <x:c r="C160" s="1" t="s">
        <x:v>16</x:v>
      </x:c>
      <x:c r="D160" s="1">
        <x:v>1</x:v>
      </x:c>
      <x:c r="E160" s="32">
        <x:v>729.02</x:v>
      </x:c>
      <x:c r="F160" s="32">
        <x:f t="shared" si="6"/>
        <x:v>729.02</x:v>
      </x:c>
      <x:c r="G160" s="4" t="s">
        <x:v>10</x:v>
      </x:c>
    </x:row>
    <x:row r="161">
      <x:c r="A161" s="1">
        <x:v>146</x:v>
      </x:c>
      <x:c r="B161" s="80" t="s">
        <x:v>165</x:v>
      </x:c>
      <x:c r="C161" s="79" t="s">
        <x:v>16</x:v>
      </x:c>
      <x:c r="D161" s="79">
        <x:v>3</x:v>
      </x:c>
      <x:c r="E161" s="32">
        <x:v>130.85</x:v>
      </x:c>
      <x:c r="F161" s="32">
        <x:f t="shared" si="6"/>
        <x:v>392.54999999999995</x:v>
      </x:c>
      <x:c r="G161" s="4" t="s">
        <x:v>10</x:v>
      </x:c>
    </x:row>
    <x:row r="162">
      <x:c r="A162" s="1">
        <x:v>147</x:v>
      </x:c>
      <x:c r="B162" s="80" t="s">
        <x:v>166</x:v>
      </x:c>
      <x:c r="C162" s="79" t="s">
        <x:v>16</x:v>
      </x:c>
      <x:c r="D162" s="79">
        <x:v>4</x:v>
      </x:c>
      <x:c r="E162" s="32">
        <x:v>523.72</x:v>
      </x:c>
      <x:c r="F162" s="32">
        <x:f t="shared" si="6"/>
        <x:v>2094.88</x:v>
      </x:c>
      <x:c r="G162" s="4" t="s">
        <x:v>10</x:v>
      </x:c>
    </x:row>
    <x:row r="163">
      <x:c r="A163" s="1">
        <x:v>148</x:v>
      </x:c>
      <x:c r="B163" s="80" t="s">
        <x:v>167</x:v>
      </x:c>
      <x:c r="C163" s="79"/>
      <x:c r="D163" s="79">
        <x:v>4</x:v>
      </x:c>
      <x:c r="E163" s="32">
        <x:v>110.45</x:v>
      </x:c>
      <x:c r="F163" s="32">
        <x:f t="shared" si="6"/>
        <x:v>441.8</x:v>
      </x:c>
      <x:c r="G163" s="4" t="s">
        <x:v>10</x:v>
      </x:c>
    </x:row>
    <x:row r="164" ht="15" customHeight="1">
      <x:c r="A164" s="1">
        <x:v>149</x:v>
      </x:c>
      <x:c r="B164" s="80" t="s">
        <x:v>168</x:v>
      </x:c>
      <x:c r="C164" s="79" t="s">
        <x:v>16</x:v>
      </x:c>
      <x:c r="D164" s="79">
        <x:v>3</x:v>
      </x:c>
      <x:c r="E164" s="32">
        <x:v>523.72</x:v>
      </x:c>
      <x:c r="F164" s="32">
        <x:f t="shared" si="6"/>
        <x:v>1571.16</x:v>
      </x:c>
      <x:c r="G164" s="4" t="s">
        <x:v>10</x:v>
      </x:c>
    </x:row>
    <x:row r="165">
      <x:c r="A165" s="1">
        <x:v>150</x:v>
      </x:c>
      <x:c r="B165" s="80" t="s">
        <x:v>169</x:v>
      </x:c>
      <x:c r="C165" s="79" t="s">
        <x:v>16</x:v>
      </x:c>
      <x:c r="D165" s="79">
        <x:v>4</x:v>
      </x:c>
      <x:c r="E165" s="32">
        <x:v>690</x:v>
      </x:c>
      <x:c r="F165" s="32">
        <x:f t="shared" si="6"/>
        <x:v>2760</x:v>
      </x:c>
      <x:c r="G165" s="4" t="s">
        <x:v>10</x:v>
      </x:c>
    </x:row>
    <x:row r="166">
      <x:c r="A166" s="1">
        <x:v>151</x:v>
      </x:c>
      <x:c r="B166" s="80" t="s">
        <x:v>170</x:v>
      </x:c>
      <x:c r="C166" s="79"/>
      <x:c r="D166" s="79">
        <x:v>6</x:v>
      </x:c>
      <x:c r="E166" s="32">
        <x:v>54</x:v>
      </x:c>
      <x:c r="F166" s="32">
        <x:f t="shared" si="6"/>
        <x:v>324</x:v>
      </x:c>
      <x:c r="G166" s="4" t="s">
        <x:v>10</x:v>
      </x:c>
    </x:row>
    <x:row r="167">
      <x:c r="A167" s="1">
        <x:v>152</x:v>
      </x:c>
      <x:c r="B167" s="75" t="s">
        <x:v>171</x:v>
      </x:c>
      <x:c r="C167" s="1" t="s">
        <x:v>16</x:v>
      </x:c>
      <x:c r="D167" s="1">
        <x:v>1</x:v>
      </x:c>
      <x:c r="E167" s="32">
        <x:v>6842.98</x:v>
      </x:c>
      <x:c r="F167" s="32">
        <x:f t="shared" si="6"/>
        <x:v>6842.98</x:v>
      </x:c>
      <x:c r="G167" s="4" t="s">
        <x:v>10</x:v>
      </x:c>
    </x:row>
    <x:row r="168">
      <x:c r="A168" s="1">
        <x:v>153</x:v>
      </x:c>
      <x:c r="B168" s="75" t="s">
        <x:v>172</x:v>
      </x:c>
      <x:c r="C168" s="1" t="s">
        <x:v>16</x:v>
      </x:c>
      <x:c r="D168" s="1">
        <x:v>1</x:v>
      </x:c>
      <x:c r="E168" s="32">
        <x:v>1062.99</x:v>
      </x:c>
      <x:c r="F168" s="32">
        <x:f t="shared" si="6"/>
        <x:v>1062.99</x:v>
      </x:c>
      <x:c r="G168" s="4" t="s">
        <x:v>10</x:v>
      </x:c>
    </x:row>
    <x:row r="169">
      <x:c r="A169" s="1">
        <x:v>154</x:v>
      </x:c>
      <x:c r="B169" s="75" t="s">
        <x:v>173</x:v>
      </x:c>
      <x:c r="C169" s="1" t="s">
        <x:v>16</x:v>
      </x:c>
      <x:c r="D169" s="1">
        <x:v>1</x:v>
      </x:c>
      <x:c r="E169" s="32">
        <x:v>1802.85</x:v>
      </x:c>
      <x:c r="F169" s="32">
        <x:f t="shared" si="6"/>
        <x:v>1802.85</x:v>
      </x:c>
      <x:c r="G169" s="4" t="s">
        <x:v>10</x:v>
      </x:c>
    </x:row>
    <x:row r="170" s="62" customFormat="1">
      <x:c r="A170" s="30"/>
      <x:c r="B170" s="78"/>
      <x:c r="C170" s="30"/>
      <x:c r="D170" s="30"/>
      <x:c r="E170" s="77"/>
      <x:c r="F170" s="70" t="n">
        <x:f>SUM(F136:F169)</x:f>
        <x:v>86581.65000000004</x:v>
      </x:c>
      <x:c r="G170" s="76"/>
    </x:row>
    <x:row r="171">
      <x:c r="A171" s="1"/>
      <x:c r="B171" s="75"/>
      <x:c r="C171" s="1"/>
      <x:c r="D171" s="1"/>
      <x:c r="E171" s="29"/>
    </x:row>
    <x:row r="172">
      <x:c r="A172" s="110" t="s">
        <x:v>174</x:v>
      </x:c>
      <x:c r="B172" s="111"/>
      <x:c r="C172" s="111"/>
      <x:c r="D172" s="111"/>
      <x:c r="E172" s="111"/>
      <x:c r="F172" s="111"/>
    </x:row>
    <x:row r="173">
      <x:c r="A173" s="67" t="s">
        <x:v>2</x:v>
      </x:c>
      <x:c r="B173" s="112" t="s">
        <x:v>114</x:v>
      </x:c>
      <x:c r="C173" s="113"/>
      <x:c r="D173" s="67" t="s">
        <x:v>5</x:v>
      </x:c>
      <x:c r="E173" s="67" t="s">
        <x:v>115</x:v>
      </x:c>
      <x:c r="F173" s="67" t="s">
        <x:v>116</x:v>
      </x:c>
    </x:row>
    <x:row r="174" ht="48.75" customHeight="1">
      <x:c r="A174" s="1">
        <x:v>155</x:v>
      </x:c>
      <x:c r="B174" s="114" t="s">
        <x:v>175</x:v>
      </x:c>
      <x:c r="C174" s="115"/>
      <x:c r="D174" s="1">
        <x:v>1</x:v>
      </x:c>
      <x:c r="E174" s="32">
        <x:v>1980</x:v>
      </x:c>
      <x:c r="F174" s="32" t="n">
        <x:f>E174*D174</x:f>
        <x:v>1980</x:v>
      </x:c>
    </x:row>
    <x:row r="175" ht="32.54999923706055" customHeight="1">
      <x:c r="A175" s="1">
        <x:v>156</x:v>
      </x:c>
      <x:c r="B175" s="114" t="s">
        <x:v>176</x:v>
      </x:c>
      <x:c r="C175" s="115"/>
      <x:c r="D175" s="1">
        <x:v>2</x:v>
      </x:c>
      <x:c r="E175" s="32">
        <x:v>2628</x:v>
      </x:c>
      <x:c r="F175" s="32" t="n">
        <x:f>E175*D175</x:f>
        <x:v>5256</x:v>
      </x:c>
    </x:row>
    <x:row r="176" ht="17.549999237060547" customHeight="1">
      <x:c r="A176" s="74"/>
      <x:c r="B176" s="73" t="s">
        <x:v>112</x:v>
      </x:c>
      <x:c r="C176" s="73"/>
      <x:c r="D176" s="72"/>
      <x:c r="E176" s="71"/>
      <x:c r="F176" s="70" t="n">
        <x:f>SUM(F174:F175)</x:f>
        <x:v>7236</x:v>
      </x:c>
    </x:row>
    <x:row r="177" ht="15">
      <x:c r="A177" s="116"/>
      <x:c r="B177" s="117"/>
      <x:c r="C177" s="117"/>
      <x:c r="D177" s="117"/>
      <x:c r="E177" s="118"/>
    </x:row>
    <x:row r="178">
      <x:c r="A178" s="108" t="s">
        <x:v>177</x:v>
      </x:c>
      <x:c r="B178" s="109"/>
      <x:c r="C178" s="109"/>
      <x:c r="D178" s="109"/>
      <x:c r="E178" s="109"/>
      <x:c r="F178" s="109"/>
      <x:c r="G178" t="s">
        <x:v>178</x:v>
      </x:c>
    </x:row>
    <x:row r="179">
      <x:c r="A179" s="67" t="s">
        <x:v>2</x:v>
      </x:c>
      <x:c r="B179" s="69" t="s">
        <x:v>114</x:v>
      </x:c>
      <x:c r="C179" s="68" t="s">
        <x:v>4</x:v>
      </x:c>
      <x:c r="D179" s="67" t="s">
        <x:v>5</x:v>
      </x:c>
      <x:c r="E179" s="67" t="s">
        <x:v>115</x:v>
      </x:c>
      <x:c r="F179" s="67" t="s">
        <x:v>116</x:v>
      </x:c>
      <x:c r="G179" s="66" t="s">
        <x:v>179</x:v>
      </x:c>
    </x:row>
    <x:row r="180" ht="72.75" customHeight="1">
      <x:c r="A180" s="1">
        <x:v>157</x:v>
      </x:c>
      <x:c r="B180" s="31" t="s">
        <x:v>180</x:v>
      </x:c>
      <x:c r="C180" s="65" t="s">
        <x:v>16</x:v>
      </x:c>
      <x:c r="D180" s="1">
        <x:v>1</x:v>
      </x:c>
      <x:c r="E180" s="32">
        <x:v>15300</x:v>
      </x:c>
      <x:c r="F180" s="32" t="n">
        <x:f>E180*D180</x:f>
        <x:v>15300</x:v>
      </x:c>
      <x:c r="G180" s="33" t="n">
        <x:f>F180/2</x:f>
        <x:v>7650</x:v>
      </x:c>
    </x:row>
    <x:row r="181" ht="41.400001525878906">
      <x:c r="A181" s="63">
        <x:v>158</x:v>
      </x:c>
      <x:c r="B181" s="31" t="s">
        <x:v>181</x:v>
      </x:c>
      <x:c r="C181" s="1"/>
      <x:c r="D181" s="1">
        <x:v>1</x:v>
      </x:c>
      <x:c r="E181" s="64">
        <x:v>2570</x:v>
      </x:c>
      <x:c r="F181" s="64" t="n">
        <x:f>E181/8</x:f>
        <x:v>321.25</x:v>
      </x:c>
      <x:c r="G181" s="33" t="n">
        <x:f>F181/2</x:f>
        <x:v>160.625</x:v>
      </x:c>
    </x:row>
    <x:row r="182" ht="41.400001525878906">
      <x:c r="A182" s="63">
        <x:v>158</x:v>
      </x:c>
      <x:c r="B182" s="31" t="s">
        <x:v>181</x:v>
      </x:c>
      <x:c r="C182" s="1"/>
      <x:c r="D182" s="1">
        <x:v>1</x:v>
      </x:c>
      <x:c r="E182" s="64">
        <x:v>2570</x:v>
      </x:c>
      <x:c r="F182" s="64" t="n">
        <x:f>E182/8</x:f>
        <x:v>321.25</x:v>
      </x:c>
      <x:c r="G182" s="33" t="n">
        <x:f>F182/2</x:f>
        <x:v>160.625</x:v>
      </x:c>
    </x:row>
    <x:row r="183" ht="41.400001525878906">
      <x:c r="A183" s="63">
        <x:v>158</x:v>
      </x:c>
      <x:c r="B183" s="31" t="s">
        <x:v>181</x:v>
      </x:c>
      <x:c r="C183" s="1"/>
      <x:c r="D183" s="1">
        <x:v>1</x:v>
      </x:c>
      <x:c r="E183" s="64">
        <x:v>2570</x:v>
      </x:c>
      <x:c r="F183" s="64" t="n">
        <x:f>E183/8</x:f>
        <x:v>321.25</x:v>
      </x:c>
      <x:c r="G183" s="33" t="n">
        <x:f>F183/2</x:f>
        <x:v>160.625</x:v>
      </x:c>
    </x:row>
    <x:row r="184">
      <x:c r="A184" s="63"/>
      <x:c r="B184" s="63"/>
      <x:c r="C184" s="63"/>
      <x:c r="D184" s="63"/>
      <x:c r="E184" s="63"/>
    </x:row>
    <x:row r="186">
      <x:c r="B186" s="62" t="s">
        <x:v>182</x:v>
      </x:c>
      <x:c r="C186" s="62"/>
      <x:c r="D186" s="62"/>
      <x:c r="E186" s="61" t="n">
        <x:f>F104+F170</x:f>
        <x:v>218820.55000000005</x:v>
      </x:c>
      <x:c r="F186" s="61"/>
    </x:row>
    <x:row r="187">
      <x:c r="B187" s="60" t="s">
        <x:v>183</x:v>
      </x:c>
      <x:c r="C187" s="60"/>
      <x:c r="D187" s="60"/>
      <x:c r="E187" s="3" t="n">
        <x:f>F115+F132+F176</x:f>
        <x:v>47249</x:v>
      </x:c>
      <x:c r="F187" s="3"/>
    </x:row>
    <x:row r="189">
      <x:c r="A189" s="108" t="s">
        <x:v>184</x:v>
      </x:c>
      <x:c r="B189" s="109"/>
      <x:c r="C189" s="109"/>
      <x:c r="D189" s="109"/>
      <x:c r="E189" s="109"/>
      <x:c r="F189" s="109"/>
    </x:row>
    <x:row r="191">
      <x:c r="B191" t="s">
        <x:v>185</x:v>
      </x:c>
    </x:row>
    <x:row r="192">
      <x:c r="I192" s="59" t="n">
        <x:f>I194/(D194+E194)</x:f>
        <x:v>0.008888000000000002</x:v>
      </x:c>
      <x:c r="J192" s="59" t="n">
        <x:f>J194/(D194+E194)</x:f>
        <x:v>0.03199680000000001</x:v>
      </x:c>
      <x:c r="L192" s="59" t="n">
        <x:f>L194/(D194+E194)</x:f>
        <x:v>0.006672</x:v>
      </x:c>
      <x:c r="M192" s="59" t="n">
        <x:f>M194/(D194+E194)</x:f>
        <x:v>0.024019200000000004</x:v>
      </x:c>
      <x:c r="N192" s="59" t="n">
        <x:f>N194/(D194+E194)</x:f>
        <x:v>0.038224</x:v>
      </x:c>
      <x:c r="P192" s="59" t="n">
        <x:f>P194/(D194+E194)</x:f>
        <x:v>0.025</x:v>
      </x:c>
    </x:row>
    <x:row r="193" ht="39.599998474121094">
      <x:c r="B193" s="56" t="s">
        <x:v>186</x:v>
      </x:c>
      <x:c r="C193" s="55" t="s">
        <x:v>187</x:v>
      </x:c>
      <x:c r="D193" s="58" t="s">
        <x:v>188</x:v>
      </x:c>
      <x:c r="E193" s="55" t="s">
        <x:v>189</x:v>
      </x:c>
      <x:c r="F193" s="56" t="s">
        <x:v>190</x:v>
      </x:c>
      <x:c r="G193" s="56" t="s">
        <x:v>191</x:v>
      </x:c>
      <x:c r="H193" s="58" t="s">
        <x:v>192</x:v>
      </x:c>
      <x:c r="I193" s="56" t="s">
        <x:v>193</x:v>
      </x:c>
      <x:c r="J193" s="56" t="s">
        <x:v>194</x:v>
      </x:c>
      <x:c r="K193" s="57" t="s">
        <x:v>195</x:v>
      </x:c>
      <x:c r="L193" s="56" t="s">
        <x:v>196</x:v>
      </x:c>
      <x:c r="M193" s="56" t="s">
        <x:v>197</x:v>
      </x:c>
      <x:c r="N193" s="55" t="s">
        <x:v>198</x:v>
      </x:c>
      <x:c r="O193" s="54" t="s">
        <x:v>199</x:v>
      </x:c>
      <x:c r="P193" s="54" t="s">
        <x:v>200</x:v>
      </x:c>
      <x:c r="Q193" s="54" t="s">
        <x:v>201</x:v>
      </x:c>
    </x:row>
    <x:row r="194" ht="15.600000381469727">
      <x:c r="B194" s="48" t="s">
        <x:v>202</x:v>
      </x:c>
      <x:c r="C194" s="46">
        <x:v>16.170000000000002</x:v>
      </x:c>
      <x:c r="D194" s="46" t="n">
        <x:f>C194*220</x:f>
        <x:v>3557.4000000000005</x:v>
      </x:c>
      <x:c r="E194" s="42" t="n">
        <x:f>D194*30%</x:f>
        <x:v>1067.22</x:v>
      </x:c>
      <x:c r="F194" s="42" t="n">
        <x:f>(E194+D194)*8%</x:f>
        <x:v>369.96960000000007</x:v>
      </x:c>
      <x:c r="G194" s="42" t="n">
        <x:f>28.8%*(E194+D194)</x:f>
        <x:v>1331.8905600000003</x:v>
      </x:c>
      <x:c r="H194" s="42" t="n">
        <x:f>H195*(E194+D194)</x:f>
        <x:v>513.7952820000002</x:v>
      </x:c>
      <x:c r="I194" s="42" t="n">
        <x:f>8%*H194</x:f>
        <x:v>41.10362256000001</x:v>
      </x:c>
      <x:c r="J194" s="42" t="n">
        <x:f>28.8%*H194</x:f>
        <x:v>147.97304121600007</x:v>
      </x:c>
      <x:c r="K194" s="42" t="n">
        <x:f>8.34%*(E194+D194)</x:f>
        <x:v>385.69330800000006</x:v>
      </x:c>
      <x:c r="L194" s="42" t="n">
        <x:f>8%*K194</x:f>
        <x:v>30.855464640000005</x:v>
      </x:c>
      <x:c r="M194" s="42" t="n">
        <x:f>28.8%*K194</x:f>
        <x:v>111.07967270400003</x:v>
      </x:c>
      <x:c r="N194" s="44" t="n">
        <x:f>(F194+I194+L194)*40%</x:f>
        <x:v>176.77147488000003</x:v>
      </x:c>
      <x:c r="O194" s="44" t="n">
        <x:f>(D194+E194)*O195</x:f>
        <x:v>12.948936000000002</x:v>
      </x:c>
      <x:c r="P194" s="44" t="n">
        <x:f>(D194+E194)/60*1.5</x:f>
        <x:v>115.61550000000003</x:v>
      </x:c>
      <x:c r="Q194" s="44" t="n">
        <x:f>M194+L194+K194+J194+I194+H194+G194+F194+E194+N194+D194</x:f>
        <x:v>7733.752026000001</x:v>
      </x:c>
    </x:row>
    <x:row r="195" ht="15.600000381469727">
      <x:c r="B195" s="52"/>
      <x:c r="C195" s="53"/>
      <x:c r="D195" s="46"/>
      <x:c r="E195" s="51">
        <x:v>0.3</x:v>
      </x:c>
      <x:c r="F195" s="51">
        <x:v>0.08</x:v>
      </x:c>
      <x:c r="G195" s="50">
        <x:v>0.28799999999999998</x:v>
      </x:c>
      <x:c r="H195" s="50">
        <x:v>0.1111</x:v>
      </x:c>
      <x:c r="I195" s="50">
        <x:v>8.8999999999999999E-3</x:v>
      </x:c>
      <x:c r="J195" s="50">
        <x:v>3.2000000000000001E-2</x:v>
      </x:c>
      <x:c r="K195" s="50">
        <x:v>8.3400000000000002E-2</x:v>
      </x:c>
      <x:c r="L195" s="50">
        <x:v>6.7000000000000002E-3</x:v>
      </x:c>
      <x:c r="M195" s="50">
        <x:v>2.4E-2</x:v>
      </x:c>
      <x:c r="N195" s="49" t="n">
        <x:f>N192</x:f>
        <x:v>0.038224</x:v>
      </x:c>
      <x:c r="O195" s="49">
        <x:v>2.8E-3</x:v>
      </x:c>
      <x:c r="P195" s="49" t="n">
        <x:f>P192</x:f>
        <x:v>0.025</x:v>
      </x:c>
      <x:c r="Q195" s="44"/>
      <x:c r="R195" s="2" t="n">
        <x:f>SUM(F195:P195)</x:f>
        <x:v>0.7001240000000002</x:v>
      </x:c>
    </x:row>
    <x:row r="196" ht="15.600000381469727">
      <x:c r="B196" s="52" t="s">
        <x:v>203</x:v>
      </x:c>
      <x:c r="C196" s="46">
        <x:v>12.34</x:v>
      </x:c>
      <x:c r="D196" s="46" t="n">
        <x:f t="shared" ref="D196:D202" si="7">C196*220</x:f>
        <x:v>2714.8</x:v>
      </x:c>
      <x:c r="E196" s="51"/>
      <x:c r="F196" s="51"/>
      <x:c r="G196" s="50"/>
      <x:c r="H196" s="50"/>
      <x:c r="I196" s="50"/>
      <x:c r="J196" s="50"/>
      <x:c r="K196" s="50"/>
      <x:c r="L196" s="50"/>
      <x:c r="M196" s="50"/>
      <x:c r="N196" s="49"/>
      <x:c r="O196" s="49"/>
      <x:c r="P196" s="49"/>
      <x:c r="Q196" s="44"/>
      <x:c r="R196" s="2"/>
    </x:row>
    <x:row r="197" ht="15.600000381469727">
      <x:c r="B197" s="52" t="s">
        <x:v>204</x:v>
      </x:c>
      <x:c r="C197" s="46">
        <x:v>12.34</x:v>
      </x:c>
      <x:c r="D197" s="46">
        <x:f t="shared" si="7"/>
        <x:v>2714.8</x:v>
      </x:c>
      <x:c r="E197" s="51"/>
      <x:c r="F197" s="51"/>
      <x:c r="G197" s="50"/>
      <x:c r="H197" s="50"/>
      <x:c r="I197" s="50"/>
      <x:c r="J197" s="50"/>
      <x:c r="K197" s="50"/>
      <x:c r="L197" s="50"/>
      <x:c r="M197" s="50"/>
      <x:c r="N197" s="49"/>
      <x:c r="O197" s="49"/>
      <x:c r="P197" s="49"/>
      <x:c r="Q197" s="44"/>
      <x:c r="R197" s="2"/>
    </x:row>
    <x:row r="198" ht="15.600000381469727">
      <x:c r="B198" s="52" t="s">
        <x:v>205</x:v>
      </x:c>
      <x:c r="C198" s="46">
        <x:v>9.0399999999999991</x:v>
      </x:c>
      <x:c r="D198" s="46">
        <x:f t="shared" si="7"/>
        <x:v>1988.7999999999997</x:v>
      </x:c>
      <x:c r="E198" s="51"/>
      <x:c r="F198" s="51"/>
      <x:c r="G198" s="50"/>
      <x:c r="H198" s="50"/>
      <x:c r="I198" s="50"/>
      <x:c r="J198" s="50"/>
      <x:c r="K198" s="50"/>
      <x:c r="L198" s="50"/>
      <x:c r="M198" s="50"/>
      <x:c r="N198" s="49"/>
      <x:c r="O198" s="49"/>
      <x:c r="P198" s="49"/>
      <x:c r="Q198" s="44"/>
      <x:c r="R198" s="2"/>
    </x:row>
    <x:row r="199" ht="15.600000381469727">
      <x:c r="B199" s="48" t="s">
        <x:v>206</x:v>
      </x:c>
      <x:c r="C199" s="47">
        <x:v>11.13</x:v>
      </x:c>
      <x:c r="D199" s="46">
        <x:f t="shared" si="7"/>
        <x:v>2448.6000000000004</x:v>
      </x:c>
      <x:c r="E199" s="42" t="n">
        <x:f>D199*30%</x:f>
        <x:v>734.58</x:v>
      </x:c>
      <x:c r="F199" s="42" t="n">
        <x:f>(E199+D199)*8%</x:f>
        <x:v>254.65440000000004</x:v>
      </x:c>
      <x:c r="G199" s="42" t="n">
        <x:f>28.8%*(E199+D199)</x:f>
        <x:v>916.7558400000001</x:v>
      </x:c>
      <x:c r="H199" s="42" t="n">
        <x:f>11.12%*(E199+D199)</x:f>
        <x:v>353.96961600000003</x:v>
      </x:c>
      <x:c r="I199" s="42" t="n">
        <x:f>8%*H199</x:f>
        <x:v>28.317569280000004</x:v>
      </x:c>
      <x:c r="J199" s="42" t="n">
        <x:f>28.8%*H199</x:f>
        <x:v>101.94324940800001</x:v>
      </x:c>
      <x:c r="K199" s="42" t="n">
        <x:f>8.34%*(E199+D199)</x:f>
        <x:v>265.477212</x:v>
      </x:c>
      <x:c r="L199" s="42" t="n">
        <x:f>8%*K199</x:f>
        <x:v>21.23817696</x:v>
      </x:c>
      <x:c r="M199" s="42" t="n">
        <x:f>28.8%*K199</x:f>
        <x:v>76.45743705600002</x:v>
      </x:c>
      <x:c r="N199" s="44" t="n">
        <x:f>L199+J199+G199*40%</x:f>
        <x:v>489.8837623680001</x:v>
      </x:c>
      <x:c r="O199" s="44"/>
      <x:c r="P199" s="44"/>
      <x:c r="Q199" s="44" t="n">
        <x:f>M199+L199+K199+J199+I199+H199+G199+F199+E199+N199+D199</x:f>
        <x:v>5691.877263072001</x:v>
      </x:c>
    </x:row>
    <x:row r="200" ht="15.600000381469727">
      <x:c r="B200" s="48" t="s">
        <x:v>207</x:v>
      </x:c>
      <x:c r="C200" s="47">
        <x:v>7.98</x:v>
      </x:c>
      <x:c r="D200" s="46">
        <x:f t="shared" si="7"/>
        <x:v>1755.6000000000001</x:v>
      </x:c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4"/>
      <x:c r="O200" s="44"/>
      <x:c r="P200" s="44"/>
      <x:c r="Q200" s="44"/>
    </x:row>
    <x:row r="201" ht="15.600000381469727">
      <x:c r="B201" s="48" t="s">
        <x:v>208</x:v>
      </x:c>
      <x:c r="C201" s="47">
        <x:v>11.13</x:v>
      </x:c>
      <x:c r="D201" s="46">
        <x:f t="shared" si="7"/>
        <x:v>2448.6000000000004</x:v>
      </x:c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4"/>
      <x:c r="O201" s="44"/>
      <x:c r="P201" s="44"/>
      <x:c r="Q201" s="44"/>
    </x:row>
    <x:row r="202" ht="15.600000381469727">
      <x:c r="B202" s="48" t="s">
        <x:v>209</x:v>
      </x:c>
      <x:c r="C202" s="47">
        <x:v>7.25</x:v>
      </x:c>
      <x:c r="D202" s="46">
        <x:f t="shared" si="7"/>
        <x:v>1595</x:v>
      </x:c>
      <x:c r="E202" s="42"/>
      <x:c r="F202" s="45"/>
      <x:c r="G202" s="42"/>
      <x:c r="H202" s="42"/>
      <x:c r="I202" s="42"/>
      <x:c r="J202" s="42"/>
      <x:c r="K202" s="42"/>
      <x:c r="L202" s="42"/>
      <x:c r="M202" s="42"/>
      <x:c r="N202" s="44"/>
      <x:c r="O202" s="44"/>
      <x:c r="P202" s="44"/>
      <x:c r="Q202" s="44"/>
    </x:row>
    <x:row r="203">
      <x:c r="B203" s="37"/>
      <x:c r="C203" s="37"/>
      <x:c r="D203" s="37"/>
      <x:c r="E203" s="37"/>
      <x:c r="F203" s="43"/>
      <x:c r="G203" s="37"/>
      <x:c r="H203" s="37"/>
      <x:c r="I203" s="37"/>
      <x:c r="J203" s="37"/>
      <x:c r="K203" s="37"/>
      <x:c r="L203" s="37"/>
      <x:c r="M203" s="37"/>
      <x:c r="N203" s="37"/>
      <x:c r="O203" s="42"/>
      <x:c r="P203" s="42"/>
    </x:row>
    <x:row r="204" ht="15">
      <x:c r="B204" s="102" t="s">
        <x:v>210</x:v>
      </x:c>
      <x:c r="C204" s="103"/>
      <x:c r="D204" s="38">
        <x:v>760</x:v>
      </x:c>
      <x:c r="E204" s="37"/>
      <x:c r="F204" s="37"/>
      <x:c r="G204" s="37"/>
      <x:c r="H204" s="37"/>
      <x:c r="I204" s="37"/>
      <x:c r="J204" s="37"/>
      <x:c r="K204" s="37"/>
      <x:c r="L204" s="37"/>
      <x:c r="M204" s="37"/>
      <x:c r="N204" s="37"/>
      <x:c r="O204" s="37"/>
      <x:c r="P204" s="37"/>
    </x:row>
    <x:row r="205" ht="15">
      <x:c r="B205" s="102" t="s">
        <x:v>211</x:v>
      </x:c>
      <x:c r="C205" s="103"/>
      <x:c r="D205" s="38" t="n">
        <x:f>D204/12</x:f>
        <x:v>63.333333333333336</x:v>
      </x:c>
      <x:c r="E205" s="37"/>
      <x:c r="F205" s="37"/>
      <x:c r="G205" s="37"/>
      <x:c r="H205" s="37"/>
      <x:c r="I205" s="37"/>
      <x:c r="J205" s="37"/>
      <x:c r="K205" s="37"/>
      <x:c r="L205" s="37"/>
      <x:c r="M205" s="37"/>
      <x:c r="N205" s="37"/>
      <x:c r="O205" s="37"/>
      <x:c r="P205" s="37"/>
    </x:row>
    <x:row r="206" ht="15">
      <x:c r="B206" s="102" t="s">
        <x:v>212</x:v>
      </x:c>
      <x:c r="C206" s="103"/>
      <x:c r="D206" s="38" t="n">
        <x:f>D204/12</x:f>
        <x:v>63.333333333333336</x:v>
      </x:c>
      <x:c r="E206" s="41" t="n">
        <x:f>SUM(D204:D206)</x:f>
        <x:v>886.6666666666667</x:v>
      </x:c>
      <x:c r="F206" s="37"/>
      <x:c r="G206" s="37"/>
      <x:c r="H206" s="37"/>
      <x:c r="I206" s="37"/>
      <x:c r="J206" s="37"/>
      <x:c r="K206" s="37"/>
      <x:c r="L206" s="37"/>
      <x:c r="M206" s="37"/>
      <x:c r="N206" s="37"/>
      <x:c r="O206" s="37"/>
      <x:c r="P206" s="37"/>
    </x:row>
    <x:row r="207">
      <x:c r="B207" s="37"/>
      <x:c r="C207" s="40" t="s">
        <x:v>213</x:v>
      </x:c>
      <x:c r="D207" s="39" t="s">
        <x:v>214</x:v>
      </x:c>
      <x:c r="E207" s="37"/>
      <x:c r="F207" s="37"/>
      <x:c r="G207" s="37"/>
      <x:c r="H207" s="37"/>
      <x:c r="I207" s="37"/>
      <x:c r="J207" s="37"/>
      <x:c r="K207" s="37"/>
      <x:c r="L207" s="37"/>
      <x:c r="M207" s="37"/>
      <x:c r="N207" s="37"/>
      <x:c r="O207" s="37"/>
      <x:c r="P207" s="37"/>
    </x:row>
    <x:row r="208">
      <x:c r="B208" s="39" t="s">
        <x:v>215</x:v>
      </x:c>
      <x:c r="C208" s="38">
        <x:v>27.3</x:v>
      </x:c>
      <x:c r="D208" s="38" t="n">
        <x:f>C208*24</x:f>
        <x:v>655.2</x:v>
      </x:c>
      <x:c r="E208" s="37"/>
      <x:c r="F208" s="37"/>
      <x:c r="G208" s="37"/>
      <x:c r="H208" s="37"/>
      <x:c r="I208" s="37"/>
      <x:c r="J208" s="37"/>
      <x:c r="K208" s="37"/>
      <x:c r="L208" s="37"/>
      <x:c r="M208" s="37"/>
      <x:c r="N208" s="37"/>
      <x:c r="O208" s="37"/>
      <x:c r="P208" s="37"/>
    </x:row>
  </x:sheetData>
  <x:mergeCells>
    <x:mergeCell ref="B204:C204"/>
    <x:mergeCell ref="B205:C205"/>
    <x:mergeCell ref="B206:C206"/>
    <x:mergeCell ref="A1:F1"/>
    <x:mergeCell ref="A2:F2"/>
    <x:mergeCell ref="A106:F106"/>
    <x:mergeCell ref="A117:F117"/>
    <x:mergeCell ref="A134:F134"/>
    <x:mergeCell ref="A178:F178"/>
    <x:mergeCell ref="A189:F189"/>
    <x:mergeCell ref="A172:F172"/>
    <x:mergeCell ref="B173:C173"/>
    <x:mergeCell ref="B174:C174"/>
    <x:mergeCell ref="B175:C175"/>
    <x:mergeCell ref="A177:E177"/>
  </x:mergeCells>
  <x:pageMargins left="0.7" right="0.7" top="0.75" bottom="0.75" header="0.3" footer="0.3"/>
  <x:legacyDrawing xmlns:r="http://schemas.openxmlformats.org/officeDocument/2006/relationships" r:id="R1f3de2a315f54a5b"/>
  <x:drawing xmlns:r="http://schemas.openxmlformats.org/officeDocument/2006/relationships" r:id="Rad3c4067fdea4f34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8.88671875" style="7" customWidth="1"/>
    <x:col min="2" max="2" width="12.21875" style="7" customWidth="1"/>
    <x:col min="3" max="3" width="77.77734375" style="7" customWidth="1"/>
    <x:col min="4" max="4" width="22.21875" style="7" customWidth="1"/>
    <x:col min="5" max="5" width="13.33203125" style="7" customWidth="1"/>
    <x:col min="6" max="7" width="8.88671875" style="7" customWidth="1"/>
    <x:col min="8" max="9" width="15.5546875" style="7" customWidth="1"/>
    <x:col min="10" max="16384" width="8.88671875" style="7" customWidth="0"/>
  </x:cols>
  <x:sheetData>
    <x:row r="1" ht="22.350000381469727" customHeight="1">
      <x:c r="A1" s="5" t="s">
        <x:v>216</x:v>
      </x:c>
      <x:c r="B1" s="6" t="s">
        <x:v>217</x:v>
      </x:c>
      <x:c r="C1" s="6" t="s">
        <x:v>218</x:v>
      </x:c>
      <x:c r="D1" s="6" t="s">
        <x:v>219</x:v>
      </x:c>
      <x:c r="E1" s="6" t="s">
        <x:v>220</x:v>
      </x:c>
      <x:c r="F1" s="6" t="s">
        <x:v>221</x:v>
      </x:c>
      <x:c r="G1" s="6" t="s">
        <x:v>222</x:v>
      </x:c>
      <x:c r="H1" s="6" t="s">
        <x:v>223</x:v>
      </x:c>
      <x:c r="I1" s="6" t="s">
        <x:v>224</x:v>
      </x:c>
    </x:row>
    <x:row r="2" ht="12" customHeight="1">
      <x:c r="A2" s="8">
        <x:v>1</x:v>
      </x:c>
      <x:c r="B2" s="9" t="s">
        <x:v>225</x:v>
      </x:c>
      <x:c r="C2" s="10" t="s">
        <x:v>226</x:v>
      </x:c>
      <x:c r="D2" s="11" t="s">
        <x:v>227</x:v>
      </x:c>
      <x:c r="E2" s="9" t="s">
        <x:v>228</x:v>
      </x:c>
      <x:c r="F2" s="9" t="s">
        <x:v>229</x:v>
      </x:c>
      <x:c r="G2" s="12">
        <x:v>1</x:v>
      </x:c>
      <x:c r="H2" s="13">
        <x:v>4990</x:v>
      </x:c>
      <x:c r="I2" s="14">
        <x:v>4990</x:v>
      </x:c>
    </x:row>
    <x:row r="3" ht="12" customHeight="1">
      <x:c r="A3" s="15">
        <x:v>2</x:v>
      </x:c>
      <x:c r="B3" s="16" t="s">
        <x:v>230</x:v>
      </x:c>
      <x:c r="C3" s="17" t="s">
        <x:v>231</x:v>
      </x:c>
      <x:c r="D3" s="18" t="s">
        <x:v>232</x:v>
      </x:c>
      <x:c r="E3" s="16" t="s">
        <x:v>233</x:v>
      </x:c>
      <x:c r="F3" s="16" t="s">
        <x:v>229</x:v>
      </x:c>
      <x:c r="G3" s="19">
        <x:v>1</x:v>
      </x:c>
      <x:c r="H3" s="20">
        <x:v>1250</x:v>
      </x:c>
      <x:c r="I3" s="21">
        <x:v>1250</x:v>
      </x:c>
    </x:row>
    <x:row r="4" ht="12" customHeight="1">
      <x:c r="A4" s="15">
        <x:v>3</x:v>
      </x:c>
      <x:c r="B4" s="16" t="s">
        <x:v>234</x:v>
      </x:c>
      <x:c r="C4" s="17" t="s">
        <x:v>235</x:v>
      </x:c>
      <x:c r="D4" s="18" t="s">
        <x:v>236</x:v>
      </x:c>
      <x:c r="E4" s="16" t="s">
        <x:v>228</x:v>
      </x:c>
      <x:c r="F4" s="16" t="s">
        <x:v>229</x:v>
      </x:c>
      <x:c r="G4" s="19">
        <x:v>1</x:v>
      </x:c>
      <x:c r="H4" s="20">
        <x:v>138</x:v>
      </x:c>
      <x:c r="I4" s="21">
        <x:v>138</x:v>
      </x:c>
    </x:row>
    <x:row r="5" ht="19.5" customHeight="1">
      <x:c r="A5" s="15">
        <x:v>4</x:v>
      </x:c>
      <x:c r="B5" s="16" t="s">
        <x:v>237</x:v>
      </x:c>
      <x:c r="C5" s="17" t="s">
        <x:v>238</x:v>
      </x:c>
      <x:c r="D5" s="18" t="s">
        <x:v>239</x:v>
      </x:c>
      <x:c r="E5" s="16" t="s">
        <x:v>228</x:v>
      </x:c>
      <x:c r="F5" s="16" t="s">
        <x:v>229</x:v>
      </x:c>
      <x:c r="G5" s="19">
        <x:v>1</x:v>
      </x:c>
      <x:c r="H5" s="20">
        <x:v>1190</x:v>
      </x:c>
      <x:c r="I5" s="21">
        <x:v>1190</x:v>
      </x:c>
    </x:row>
    <x:row r="6" ht="12" customHeight="1">
      <x:c r="A6" s="15">
        <x:v>5</x:v>
      </x:c>
      <x:c r="B6" s="16" t="s">
        <x:v>240</x:v>
      </x:c>
      <x:c r="C6" s="17" t="s">
        <x:v>241</x:v>
      </x:c>
      <x:c r="D6" s="18" t="s">
        <x:v>242</x:v>
      </x:c>
      <x:c r="E6" s="16" t="s">
        <x:v>228</x:v>
      </x:c>
      <x:c r="F6" s="16" t="s">
        <x:v>229</x:v>
      </x:c>
      <x:c r="G6" s="19">
        <x:v>3</x:v>
      </x:c>
      <x:c r="H6" s="20">
        <x:v>46</x:v>
      </x:c>
      <x:c r="I6" s="21">
        <x:v>138</x:v>
      </x:c>
    </x:row>
    <x:row r="7" ht="12" customHeight="1">
      <x:c r="A7" s="15">
        <x:v>6</x:v>
      </x:c>
      <x:c r="B7" s="16" t="s">
        <x:v>243</x:v>
      </x:c>
      <x:c r="C7" s="17" t="s">
        <x:v>244</x:v>
      </x:c>
      <x:c r="D7" s="18" t="s">
        <x:v>245</x:v>
      </x:c>
      <x:c r="E7" s="16" t="s">
        <x:v>246</x:v>
      </x:c>
      <x:c r="F7" s="16" t="s">
        <x:v>229</x:v>
      </x:c>
      <x:c r="G7" s="19">
        <x:v>1</x:v>
      </x:c>
      <x:c r="H7" s="20">
        <x:v>25</x:v>
      </x:c>
      <x:c r="I7" s="21">
        <x:v>25</x:v>
      </x:c>
    </x:row>
    <x:row r="8" ht="12" customHeight="1">
      <x:c r="A8" s="15">
        <x:v>7</x:v>
      </x:c>
      <x:c r="B8" s="16" t="s">
        <x:v>247</x:v>
      </x:c>
      <x:c r="C8" s="17" t="s">
        <x:v>248</x:v>
      </x:c>
      <x:c r="D8" s="18" t="s">
        <x:v>249</x:v>
      </x:c>
      <x:c r="E8" s="16" t="s">
        <x:v>250</x:v>
      </x:c>
      <x:c r="F8" s="16" t="s">
        <x:v>229</x:v>
      </x:c>
      <x:c r="G8" s="19">
        <x:v>2</x:v>
      </x:c>
      <x:c r="H8" s="20">
        <x:v>46</x:v>
      </x:c>
      <x:c r="I8" s="21">
        <x:v>92</x:v>
      </x:c>
    </x:row>
    <x:row r="9" ht="12" customHeight="1">
      <x:c r="A9" s="15">
        <x:v>8</x:v>
      </x:c>
      <x:c r="B9" s="16" t="s">
        <x:v>251</x:v>
      </x:c>
      <x:c r="C9" s="17" t="s">
        <x:v>252</x:v>
      </x:c>
      <x:c r="D9" s="18" t="s">
        <x:v>253</x:v>
      </x:c>
      <x:c r="E9" s="16" t="s">
        <x:v>250</x:v>
      </x:c>
      <x:c r="F9" s="16" t="s">
        <x:v>229</x:v>
      </x:c>
      <x:c r="G9" s="19">
        <x:v>1</x:v>
      </x:c>
      <x:c r="H9" s="20">
        <x:v>23.5</x:v>
      </x:c>
      <x:c r="I9" s="21">
        <x:v>23.5</x:v>
      </x:c>
    </x:row>
    <x:row r="10" ht="12" customHeight="1">
      <x:c r="A10" s="15">
        <x:v>9</x:v>
      </x:c>
      <x:c r="B10" s="16" t="s">
        <x:v>254</x:v>
      </x:c>
      <x:c r="C10" s="17" t="s">
        <x:v>255</x:v>
      </x:c>
      <x:c r="D10" s="18" t="s">
        <x:v>256</x:v>
      </x:c>
      <x:c r="E10" s="16" t="s">
        <x:v>257</x:v>
      </x:c>
      <x:c r="F10" s="16" t="s">
        <x:v>229</x:v>
      </x:c>
      <x:c r="G10" s="19">
        <x:v>3</x:v>
      </x:c>
      <x:c r="H10" s="20">
        <x:v>890</x:v>
      </x:c>
      <x:c r="I10" s="21">
        <x:v>2670</x:v>
      </x:c>
    </x:row>
    <x:row r="11" ht="12" customHeight="1">
      <x:c r="A11" s="15">
        <x:v>10</x:v>
      </x:c>
      <x:c r="B11" s="16" t="s">
        <x:v>258</x:v>
      </x:c>
      <x:c r="C11" s="17" t="s">
        <x:v>259</x:v>
      </x:c>
      <x:c r="D11" s="18" t="s">
        <x:v>260</x:v>
      </x:c>
      <x:c r="E11" s="16" t="s">
        <x:v>261</x:v>
      </x:c>
      <x:c r="F11" s="16" t="s">
        <x:v>229</x:v>
      </x:c>
      <x:c r="G11" s="19">
        <x:v>1</x:v>
      </x:c>
      <x:c r="H11" s="20">
        <x:v>1790</x:v>
      </x:c>
      <x:c r="I11" s="21">
        <x:v>1790</x:v>
      </x:c>
    </x:row>
    <x:row r="12" ht="12" customHeight="1">
      <x:c r="A12" s="15">
        <x:v>11</x:v>
      </x:c>
      <x:c r="B12" s="16" t="s">
        <x:v>262</x:v>
      </x:c>
      <x:c r="C12" s="17" t="s">
        <x:v>263</x:v>
      </x:c>
      <x:c r="D12" s="18" t="s">
        <x:v>264</x:v>
      </x:c>
      <x:c r="E12" s="16" t="s">
        <x:v>261</x:v>
      </x:c>
      <x:c r="F12" s="16" t="s">
        <x:v>229</x:v>
      </x:c>
      <x:c r="G12" s="19">
        <x:v>1</x:v>
      </x:c>
      <x:c r="H12" s="20">
        <x:v>2980</x:v>
      </x:c>
      <x:c r="I12" s="21">
        <x:v>2980</x:v>
      </x:c>
    </x:row>
    <x:row r="13" ht="12" customHeight="1">
      <x:c r="A13" s="15">
        <x:v>12</x:v>
      </x:c>
      <x:c r="B13" s="16" t="s">
        <x:v>265</x:v>
      </x:c>
      <x:c r="C13" s="17" t="s">
        <x:v>266</x:v>
      </x:c>
      <x:c r="D13" s="18" t="s">
        <x:v>267</x:v>
      </x:c>
      <x:c r="E13" s="16" t="s">
        <x:v>261</x:v>
      </x:c>
      <x:c r="F13" s="16" t="s">
        <x:v>229</x:v>
      </x:c>
      <x:c r="G13" s="19">
        <x:v>1</x:v>
      </x:c>
      <x:c r="H13" s="20">
        <x:v>510</x:v>
      </x:c>
      <x:c r="I13" s="21">
        <x:v>510</x:v>
      </x:c>
    </x:row>
    <x:row r="14" ht="12" customHeight="1">
      <x:c r="A14" s="15">
        <x:v>13</x:v>
      </x:c>
      <x:c r="B14" s="16" t="s">
        <x:v>268</x:v>
      </x:c>
      <x:c r="C14" s="17" t="s">
        <x:v>269</x:v>
      </x:c>
      <x:c r="D14" s="18" t="s">
        <x:v>270</x:v>
      </x:c>
      <x:c r="E14" s="16" t="s">
        <x:v>250</x:v>
      </x:c>
      <x:c r="F14" s="16" t="s">
        <x:v>229</x:v>
      </x:c>
      <x:c r="G14" s="19">
        <x:v>6</x:v>
      </x:c>
      <x:c r="H14" s="20">
        <x:v>40</x:v>
      </x:c>
      <x:c r="I14" s="21">
        <x:v>240</x:v>
      </x:c>
    </x:row>
    <x:row r="15" ht="12" customHeight="1">
      <x:c r="A15" s="15">
        <x:v>14</x:v>
      </x:c>
      <x:c r="B15" s="16" t="s">
        <x:v>271</x:v>
      </x:c>
      <x:c r="C15" s="17" t="s">
        <x:v>272</x:v>
      </x:c>
      <x:c r="D15" s="18"/>
      <x:c r="E15" s="16" t="s">
        <x:v>273</x:v>
      </x:c>
      <x:c r="F15" s="16" t="s">
        <x:v>229</x:v>
      </x:c>
      <x:c r="G15" s="19">
        <x:v>9</x:v>
      </x:c>
      <x:c r="H15" s="20">
        <x:v>12</x:v>
      </x:c>
      <x:c r="I15" s="21">
        <x:v>108</x:v>
      </x:c>
    </x:row>
    <x:row r="16" ht="12" customHeight="1">
      <x:c r="A16" s="15">
        <x:v>15</x:v>
      </x:c>
      <x:c r="B16" s="16" t="s">
        <x:v>274</x:v>
      </x:c>
      <x:c r="C16" s="17" t="s">
        <x:v>275</x:v>
      </x:c>
      <x:c r="D16" s="18" t="s">
        <x:v>276</x:v>
      </x:c>
      <x:c r="E16" s="16" t="s">
        <x:v>277</x:v>
      </x:c>
      <x:c r="F16" s="16" t="s">
        <x:v>229</x:v>
      </x:c>
      <x:c r="G16" s="19">
        <x:v>1</x:v>
      </x:c>
      <x:c r="H16" s="20">
        <x:v>51</x:v>
      </x:c>
      <x:c r="I16" s="21">
        <x:v>51</x:v>
      </x:c>
    </x:row>
    <x:row r="17" ht="19.5" customHeight="1">
      <x:c r="A17" s="15">
        <x:v>16</x:v>
      </x:c>
      <x:c r="B17" s="16" t="s">
        <x:v>278</x:v>
      </x:c>
      <x:c r="C17" s="17" t="s">
        <x:v>279</x:v>
      </x:c>
      <x:c r="D17" s="18" t="s">
        <x:v>280</x:v>
      </x:c>
      <x:c r="E17" s="16" t="s">
        <x:v>281</x:v>
      </x:c>
      <x:c r="F17" s="16" t="s">
        <x:v>229</x:v>
      </x:c>
      <x:c r="G17" s="19">
        <x:v>1</x:v>
      </x:c>
      <x:c r="H17" s="20">
        <x:v>990</x:v>
      </x:c>
      <x:c r="I17" s="21">
        <x:v>990</x:v>
      </x:c>
    </x:row>
    <x:row r="18" ht="12" customHeight="1">
      <x:c r="A18" s="15">
        <x:v>17</x:v>
      </x:c>
      <x:c r="B18" s="16" t="s">
        <x:v>282</x:v>
      </x:c>
      <x:c r="C18" s="17" t="s">
        <x:v>283</x:v>
      </x:c>
      <x:c r="D18" s="18" t="s">
        <x:v>284</x:v>
      </x:c>
      <x:c r="E18" s="16" t="s">
        <x:v>285</x:v>
      </x:c>
      <x:c r="F18" s="16" t="s">
        <x:v>286</x:v>
      </x:c>
      <x:c r="G18" s="19">
        <x:v>21</x:v>
      </x:c>
      <x:c r="H18" s="20">
        <x:v>220</x:v>
      </x:c>
      <x:c r="I18" s="21">
        <x:v>4620</x:v>
      </x:c>
    </x:row>
    <x:row r="19" ht="12" customHeight="1">
      <x:c r="A19" s="15">
        <x:v>18</x:v>
      </x:c>
      <x:c r="B19" s="16" t="s">
        <x:v>287</x:v>
      </x:c>
      <x:c r="C19" s="17" t="s">
        <x:v>288</x:v>
      </x:c>
      <x:c r="D19" s="18" t="s">
        <x:v>289</x:v>
      </x:c>
      <x:c r="E19" s="16" t="s">
        <x:v>285</x:v>
      </x:c>
      <x:c r="F19" s="16" t="s">
        <x:v>286</x:v>
      </x:c>
      <x:c r="G19" s="19">
        <x:v>15</x:v>
      </x:c>
      <x:c r="H19" s="20">
        <x:v>317</x:v>
      </x:c>
      <x:c r="I19" s="21">
        <x:v>4755</x:v>
      </x:c>
    </x:row>
    <x:row r="20" ht="12" customHeight="1">
      <x:c r="A20" s="15">
        <x:v>19</x:v>
      </x:c>
      <x:c r="B20" s="16" t="s">
        <x:v>290</x:v>
      </x:c>
      <x:c r="C20" s="17" t="s">
        <x:v>291</x:v>
      </x:c>
      <x:c r="D20" s="18" t="s">
        <x:v>292</x:v>
      </x:c>
      <x:c r="E20" s="16" t="s">
        <x:v>285</x:v>
      </x:c>
      <x:c r="F20" s="16" t="s">
        <x:v>286</x:v>
      </x:c>
      <x:c r="G20" s="19">
        <x:v>21</x:v>
      </x:c>
      <x:c r="H20" s="20">
        <x:v>680</x:v>
      </x:c>
      <x:c r="I20" s="21">
        <x:v>14280</x:v>
      </x:c>
    </x:row>
    <x:row r="21" ht="12" customHeight="1">
      <x:c r="A21" s="15">
        <x:v>20</x:v>
      </x:c>
      <x:c r="B21" s="16" t="s">
        <x:v>293</x:v>
      </x:c>
      <x:c r="C21" s="17" t="s">
        <x:v>294</x:v>
      </x:c>
      <x:c r="D21" s="18" t="s">
        <x:v>295</x:v>
      </x:c>
      <x:c r="E21" s="16" t="s">
        <x:v>296</x:v>
      </x:c>
      <x:c r="F21" s="16" t="s">
        <x:v>229</x:v>
      </x:c>
      <x:c r="G21" s="19">
        <x:v>1</x:v>
      </x:c>
      <x:c r="H21" s="20">
        <x:v>750</x:v>
      </x:c>
      <x:c r="I21" s="21">
        <x:v>750</x:v>
      </x:c>
    </x:row>
    <x:row r="22" ht="12" customHeight="1">
      <x:c r="A22" s="15">
        <x:v>21</x:v>
      </x:c>
      <x:c r="B22" s="16" t="s">
        <x:v>297</x:v>
      </x:c>
      <x:c r="C22" s="17" t="s">
        <x:v>298</x:v>
      </x:c>
      <x:c r="D22" s="18" t="s">
        <x:v>299</x:v>
      </x:c>
      <x:c r="E22" s="16" t="s">
        <x:v>250</x:v>
      </x:c>
      <x:c r="F22" s="16" t="s">
        <x:v>229</x:v>
      </x:c>
      <x:c r="G22" s="19">
        <x:v>1</x:v>
      </x:c>
      <x:c r="H22" s="20">
        <x:v>72</x:v>
      </x:c>
      <x:c r="I22" s="21">
        <x:v>72</x:v>
      </x:c>
    </x:row>
    <x:row r="23" ht="12" customHeight="1">
      <x:c r="A23" s="15">
        <x:v>22</x:v>
      </x:c>
      <x:c r="B23" s="16" t="s">
        <x:v>300</x:v>
      </x:c>
      <x:c r="C23" s="17" t="s">
        <x:v>301</x:v>
      </x:c>
      <x:c r="D23" s="18" t="s">
        <x:v>302</x:v>
      </x:c>
      <x:c r="E23" s="16" t="s">
        <x:v>303</x:v>
      </x:c>
      <x:c r="F23" s="16" t="s">
        <x:v>229</x:v>
      </x:c>
      <x:c r="G23" s="19">
        <x:v>3</x:v>
      </x:c>
      <x:c r="H23" s="20">
        <x:v>33</x:v>
      </x:c>
      <x:c r="I23" s="21">
        <x:v>99</x:v>
      </x:c>
    </x:row>
    <x:row r="24" ht="12" customHeight="1">
      <x:c r="A24" s="15">
        <x:v>23</x:v>
      </x:c>
      <x:c r="B24" s="16" t="s">
        <x:v>304</x:v>
      </x:c>
      <x:c r="C24" s="17" t="s">
        <x:v>305</x:v>
      </x:c>
      <x:c r="D24" s="18" t="s">
        <x:v>306</x:v>
      </x:c>
      <x:c r="E24" s="16" t="s">
        <x:v>307</x:v>
      </x:c>
      <x:c r="F24" s="16" t="s">
        <x:v>229</x:v>
      </x:c>
      <x:c r="G24" s="19">
        <x:v>2</x:v>
      </x:c>
      <x:c r="H24" s="20">
        <x:v>118</x:v>
      </x:c>
      <x:c r="I24" s="21">
        <x:v>236</x:v>
      </x:c>
    </x:row>
    <x:row r="25" ht="12" customHeight="1">
      <x:c r="A25" s="15">
        <x:v>24</x:v>
      </x:c>
      <x:c r="B25" s="16" t="s">
        <x:v>308</x:v>
      </x:c>
      <x:c r="C25" s="17" t="s">
        <x:v>309</x:v>
      </x:c>
      <x:c r="D25" s="18" t="s">
        <x:v>310</x:v>
      </x:c>
      <x:c r="E25" s="16" t="s">
        <x:v>311</x:v>
      </x:c>
      <x:c r="F25" s="16" t="s">
        <x:v>229</x:v>
      </x:c>
      <x:c r="G25" s="19">
        <x:v>2</x:v>
      </x:c>
      <x:c r="H25" s="20">
        <x:v>98</x:v>
      </x:c>
      <x:c r="I25" s="21">
        <x:v>196</x:v>
      </x:c>
    </x:row>
    <x:row r="26" ht="12" customHeight="1">
      <x:c r="A26" s="15">
        <x:v>25</x:v>
      </x:c>
      <x:c r="B26" s="16" t="s">
        <x:v>312</x:v>
      </x:c>
      <x:c r="C26" s="17" t="s">
        <x:v>313</x:v>
      </x:c>
      <x:c r="D26" s="18" t="s">
        <x:v>314</x:v>
      </x:c>
      <x:c r="E26" s="16" t="s">
        <x:v>315</x:v>
      </x:c>
      <x:c r="F26" s="16" t="s">
        <x:v>229</x:v>
      </x:c>
      <x:c r="G26" s="19">
        <x:v>2</x:v>
      </x:c>
      <x:c r="H26" s="20">
        <x:v>102</x:v>
      </x:c>
      <x:c r="I26" s="21">
        <x:v>204</x:v>
      </x:c>
    </x:row>
    <x:row r="27" ht="12" customHeight="1">
      <x:c r="A27" s="15">
        <x:v>26</x:v>
      </x:c>
      <x:c r="B27" s="16" t="s">
        <x:v>316</x:v>
      </x:c>
      <x:c r="C27" s="17" t="s">
        <x:v>317</x:v>
      </x:c>
      <x:c r="D27" s="18" t="s">
        <x:v>318</x:v>
      </x:c>
      <x:c r="E27" s="16" t="s">
        <x:v>315</x:v>
      </x:c>
      <x:c r="F27" s="16" t="s">
        <x:v>229</x:v>
      </x:c>
      <x:c r="G27" s="19">
        <x:v>3</x:v>
      </x:c>
      <x:c r="H27" s="20">
        <x:v>13.6</x:v>
      </x:c>
      <x:c r="I27" s="21">
        <x:v>40.799999999999997</x:v>
      </x:c>
    </x:row>
    <x:row r="28" ht="12" customHeight="1">
      <x:c r="A28" s="15">
        <x:v>27</x:v>
      </x:c>
      <x:c r="B28" s="16" t="s">
        <x:v>319</x:v>
      </x:c>
      <x:c r="C28" s="17" t="s">
        <x:v>320</x:v>
      </x:c>
      <x:c r="D28" s="18" t="s">
        <x:v>321</x:v>
      </x:c>
      <x:c r="E28" s="16" t="s">
        <x:v>315</x:v>
      </x:c>
      <x:c r="F28" s="16" t="s">
        <x:v>229</x:v>
      </x:c>
      <x:c r="G28" s="19">
        <x:v>3</x:v>
      </x:c>
      <x:c r="H28" s="20">
        <x:v>21</x:v>
      </x:c>
      <x:c r="I28" s="21">
        <x:v>63</x:v>
      </x:c>
    </x:row>
    <x:row r="29" ht="12" customHeight="1">
      <x:c r="A29" s="15">
        <x:v>28</x:v>
      </x:c>
      <x:c r="B29" s="16" t="s">
        <x:v>322</x:v>
      </x:c>
      <x:c r="C29" s="17" t="s">
        <x:v>323</x:v>
      </x:c>
      <x:c r="D29" s="18" t="s">
        <x:v>324</x:v>
      </x:c>
      <x:c r="E29" s="16" t="s">
        <x:v>315</x:v>
      </x:c>
      <x:c r="F29" s="16" t="s">
        <x:v>229</x:v>
      </x:c>
      <x:c r="G29" s="19">
        <x:v>3</x:v>
      </x:c>
      <x:c r="H29" s="20">
        <x:v>27.2</x:v>
      </x:c>
      <x:c r="I29" s="21">
        <x:v>81.599999999999994</x:v>
      </x:c>
    </x:row>
    <x:row r="30" ht="12" customHeight="1">
      <x:c r="A30" s="15">
        <x:v>29</x:v>
      </x:c>
      <x:c r="B30" s="16" t="s">
        <x:v>325</x:v>
      </x:c>
      <x:c r="C30" s="17" t="s">
        <x:v>326</x:v>
      </x:c>
      <x:c r="D30" s="18" t="s">
        <x:v>327</x:v>
      </x:c>
      <x:c r="E30" s="16" t="s">
        <x:v>328</x:v>
      </x:c>
      <x:c r="F30" s="16" t="s">
        <x:v>229</x:v>
      </x:c>
      <x:c r="G30" s="19">
        <x:v>2</x:v>
      </x:c>
      <x:c r="H30" s="20">
        <x:v>170</x:v>
      </x:c>
      <x:c r="I30" s="21">
        <x:v>340</x:v>
      </x:c>
    </x:row>
    <x:row r="31" ht="19.5" customHeight="1">
      <x:c r="A31" s="15">
        <x:v>30</x:v>
      </x:c>
      <x:c r="B31" s="16" t="s">
        <x:v>329</x:v>
      </x:c>
      <x:c r="C31" s="17" t="s">
        <x:v>330</x:v>
      </x:c>
      <x:c r="D31" s="18" t="s">
        <x:v>331</x:v>
      </x:c>
      <x:c r="E31" s="16" t="s">
        <x:v>250</x:v>
      </x:c>
      <x:c r="F31" s="16" t="s">
        <x:v>229</x:v>
      </x:c>
      <x:c r="G31" s="19">
        <x:v>1</x:v>
      </x:c>
      <x:c r="H31" s="20">
        <x:v>190</x:v>
      </x:c>
      <x:c r="I31" s="21">
        <x:v>190</x:v>
      </x:c>
    </x:row>
    <x:row r="32" ht="12" customHeight="1">
      <x:c r="A32" s="15">
        <x:v>31</x:v>
      </x:c>
      <x:c r="B32" s="16" t="s">
        <x:v>332</x:v>
      </x:c>
      <x:c r="C32" s="17" t="s">
        <x:v>333</x:v>
      </x:c>
      <x:c r="D32" s="18" t="s">
        <x:v>334</x:v>
      </x:c>
      <x:c r="E32" s="16" t="s">
        <x:v>281</x:v>
      </x:c>
      <x:c r="F32" s="16" t="s">
        <x:v>229</x:v>
      </x:c>
      <x:c r="G32" s="19">
        <x:v>1</x:v>
      </x:c>
      <x:c r="H32" s="20">
        <x:v>277</x:v>
      </x:c>
      <x:c r="I32" s="21">
        <x:v>277</x:v>
      </x:c>
    </x:row>
    <x:row r="33" ht="12" customHeight="1">
      <x:c r="A33" s="15">
        <x:v>32</x:v>
      </x:c>
      <x:c r="B33" s="16" t="s">
        <x:v>335</x:v>
      </x:c>
      <x:c r="C33" s="17" t="s">
        <x:v>336</x:v>
      </x:c>
      <x:c r="D33" s="18" t="s">
        <x:v>337</x:v>
      </x:c>
      <x:c r="E33" s="16" t="s">
        <x:v>338</x:v>
      </x:c>
      <x:c r="F33" s="16" t="s">
        <x:v>339</x:v>
      </x:c>
      <x:c r="G33" s="19">
        <x:v>2</x:v>
      </x:c>
      <x:c r="H33" s="20">
        <x:v>255</x:v>
      </x:c>
      <x:c r="I33" s="21">
        <x:v>510</x:v>
      </x:c>
    </x:row>
    <x:row r="34" ht="12" customHeight="1">
      <x:c r="A34" s="15">
        <x:v>33</x:v>
      </x:c>
      <x:c r="B34" s="16" t="s">
        <x:v>340</x:v>
      </x:c>
      <x:c r="C34" s="17" t="s">
        <x:v>341</x:v>
      </x:c>
      <x:c r="D34" s="18" t="s">
        <x:v>342</x:v>
      </x:c>
      <x:c r="E34" s="16" t="s">
        <x:v>338</x:v>
      </x:c>
      <x:c r="F34" s="16" t="s">
        <x:v>286</x:v>
      </x:c>
      <x:c r="G34" s="19">
        <x:v>10</x:v>
      </x:c>
      <x:c r="H34" s="20">
        <x:v>2.2000000000000002</x:v>
      </x:c>
      <x:c r="I34" s="21">
        <x:v>22</x:v>
      </x:c>
    </x:row>
    <x:row r="35" ht="12" customHeight="1">
      <x:c r="A35" s="15">
        <x:v>34</x:v>
      </x:c>
      <x:c r="B35" s="16" t="s">
        <x:v>343</x:v>
      </x:c>
      <x:c r="C35" s="17" t="s">
        <x:v>344</x:v>
      </x:c>
      <x:c r="D35" s="18" t="s">
        <x:v>345</x:v>
      </x:c>
      <x:c r="E35" s="16" t="s">
        <x:v>346</x:v>
      </x:c>
      <x:c r="F35" s="16" t="s">
        <x:v>229</x:v>
      </x:c>
      <x:c r="G35" s="19">
        <x:v>1</x:v>
      </x:c>
      <x:c r="H35" s="20">
        <x:v>4350</x:v>
      </x:c>
      <x:c r="I35" s="21">
        <x:v>4350</x:v>
      </x:c>
    </x:row>
    <x:row r="36" ht="12" customHeight="1">
      <x:c r="A36" s="15">
        <x:v>35</x:v>
      </x:c>
      <x:c r="B36" s="16" t="s">
        <x:v>347</x:v>
      </x:c>
      <x:c r="C36" s="17" t="s">
        <x:v>348</x:v>
      </x:c>
      <x:c r="D36" s="18" t="s">
        <x:v>349</x:v>
      </x:c>
      <x:c r="E36" s="16" t="s">
        <x:v>277</x:v>
      </x:c>
      <x:c r="F36" s="16" t="s">
        <x:v>229</x:v>
      </x:c>
      <x:c r="G36" s="19">
        <x:v>1</x:v>
      </x:c>
      <x:c r="H36" s="20">
        <x:v>148</x:v>
      </x:c>
      <x:c r="I36" s="21">
        <x:v>148</x:v>
      </x:c>
    </x:row>
    <x:row r="37" ht="12" customHeight="1">
      <x:c r="A37" s="15">
        <x:v>36</x:v>
      </x:c>
      <x:c r="B37" s="16" t="s">
        <x:v>350</x:v>
      </x:c>
      <x:c r="C37" s="17" t="s">
        <x:v>351</x:v>
      </x:c>
      <x:c r="D37" s="18" t="s">
        <x:v>352</x:v>
      </x:c>
      <x:c r="E37" s="16" t="s">
        <x:v>353</x:v>
      </x:c>
      <x:c r="F37" s="16" t="s">
        <x:v>229</x:v>
      </x:c>
      <x:c r="G37" s="19">
        <x:v>2</x:v>
      </x:c>
      <x:c r="H37" s="20">
        <x:v>180</x:v>
      </x:c>
      <x:c r="I37" s="21">
        <x:v>360</x:v>
      </x:c>
    </x:row>
    <x:row r="38" ht="12" customHeight="1">
      <x:c r="A38" s="15">
        <x:v>37</x:v>
      </x:c>
      <x:c r="B38" s="16" t="s">
        <x:v>354</x:v>
      </x:c>
      <x:c r="C38" s="17" t="s">
        <x:v>355</x:v>
      </x:c>
      <x:c r="D38" s="18" t="s">
        <x:v>356</x:v>
      </x:c>
      <x:c r="E38" s="16" t="s">
        <x:v>357</x:v>
      </x:c>
      <x:c r="F38" s="16" t="s">
        <x:v>229</x:v>
      </x:c>
      <x:c r="G38" s="19">
        <x:v>3</x:v>
      </x:c>
      <x:c r="H38" s="20">
        <x:v>325</x:v>
      </x:c>
      <x:c r="I38" s="21">
        <x:v>975</x:v>
      </x:c>
    </x:row>
    <x:row r="39" ht="12" customHeight="1">
      <x:c r="A39" s="15">
        <x:v>38</x:v>
      </x:c>
      <x:c r="B39" s="16" t="s">
        <x:v>358</x:v>
      </x:c>
      <x:c r="C39" s="17" t="s">
        <x:v>359</x:v>
      </x:c>
      <x:c r="D39" s="18" t="s">
        <x:v>360</x:v>
      </x:c>
      <x:c r="E39" s="16" t="s">
        <x:v>357</x:v>
      </x:c>
      <x:c r="F39" s="16" t="s">
        <x:v>229</x:v>
      </x:c>
      <x:c r="G39" s="19">
        <x:v>3</x:v>
      </x:c>
      <x:c r="H39" s="20">
        <x:v>610</x:v>
      </x:c>
      <x:c r="I39" s="21">
        <x:v>1830</x:v>
      </x:c>
    </x:row>
    <x:row r="40" ht="12" customHeight="1">
      <x:c r="A40" s="15">
        <x:v>39</x:v>
      </x:c>
      <x:c r="B40" s="16" t="s">
        <x:v>361</x:v>
      </x:c>
      <x:c r="C40" s="17" t="s">
        <x:v>362</x:v>
      </x:c>
      <x:c r="D40" s="18" t="s">
        <x:v>363</x:v>
      </x:c>
      <x:c r="E40" s="16" t="s">
        <x:v>357</x:v>
      </x:c>
      <x:c r="F40" s="16" t="s">
        <x:v>229</x:v>
      </x:c>
      <x:c r="G40" s="19">
        <x:v>2</x:v>
      </x:c>
      <x:c r="H40" s="20">
        <x:v>188</x:v>
      </x:c>
      <x:c r="I40" s="21">
        <x:v>376</x:v>
      </x:c>
    </x:row>
    <x:row r="41" ht="12" customHeight="1">
      <x:c r="A41" s="15">
        <x:v>40</x:v>
      </x:c>
      <x:c r="B41" s="16" t="s">
        <x:v>364</x:v>
      </x:c>
      <x:c r="C41" s="17" t="s">
        <x:v>365</x:v>
      </x:c>
      <x:c r="D41" s="18" t="s">
        <x:v>366</x:v>
      </x:c>
      <x:c r="E41" s="16" t="s">
        <x:v>281</x:v>
      </x:c>
      <x:c r="F41" s="16" t="s">
        <x:v>229</x:v>
      </x:c>
      <x:c r="G41" s="19">
        <x:v>1</x:v>
      </x:c>
      <x:c r="H41" s="20">
        <x:v>239</x:v>
      </x:c>
      <x:c r="I41" s="21">
        <x:v>239</x:v>
      </x:c>
    </x:row>
    <x:row r="42" ht="12" customHeight="1">
      <x:c r="A42" s="15">
        <x:v>41</x:v>
      </x:c>
      <x:c r="B42" s="16" t="s">
        <x:v>367</x:v>
      </x:c>
      <x:c r="C42" s="17" t="s">
        <x:v>368</x:v>
      </x:c>
      <x:c r="D42" s="18" t="s">
        <x:v>369</x:v>
      </x:c>
      <x:c r="E42" s="16" t="s">
        <x:v>370</x:v>
      </x:c>
      <x:c r="F42" s="16" t="s">
        <x:v>229</x:v>
      </x:c>
      <x:c r="G42" s="19">
        <x:v>3</x:v>
      </x:c>
      <x:c r="H42" s="20">
        <x:v>139</x:v>
      </x:c>
      <x:c r="I42" s="21">
        <x:v>417</x:v>
      </x:c>
    </x:row>
    <x:row r="43" ht="12" customHeight="1">
      <x:c r="A43" s="15">
        <x:v>42</x:v>
      </x:c>
      <x:c r="B43" s="16" t="s">
        <x:v>371</x:v>
      </x:c>
      <x:c r="C43" s="17" t="s">
        <x:v>372</x:v>
      </x:c>
      <x:c r="D43" s="18" t="s">
        <x:v>373</x:v>
      </x:c>
      <x:c r="E43" s="16" t="s">
        <x:v>370</x:v>
      </x:c>
      <x:c r="F43" s="16" t="s">
        <x:v>229</x:v>
      </x:c>
      <x:c r="G43" s="19">
        <x:v>3</x:v>
      </x:c>
      <x:c r="H43" s="20">
        <x:v>115</x:v>
      </x:c>
      <x:c r="I43" s="21">
        <x:v>345</x:v>
      </x:c>
    </x:row>
    <x:row r="44" ht="12" customHeight="1">
      <x:c r="A44" s="15">
        <x:v>43</x:v>
      </x:c>
      <x:c r="B44" s="16" t="s">
        <x:v>374</x:v>
      </x:c>
      <x:c r="C44" s="17" t="s">
        <x:v>375</x:v>
      </x:c>
      <x:c r="D44" s="18" t="s">
        <x:v>376</x:v>
      </x:c>
      <x:c r="E44" s="16" t="s">
        <x:v>346</x:v>
      </x:c>
      <x:c r="F44" s="16" t="s">
        <x:v>229</x:v>
      </x:c>
      <x:c r="G44" s="19">
        <x:v>1</x:v>
      </x:c>
      <x:c r="H44" s="20">
        <x:v>58</x:v>
      </x:c>
      <x:c r="I44" s="21">
        <x:v>58</x:v>
      </x:c>
    </x:row>
    <x:row r="45" ht="12" customHeight="1">
      <x:c r="A45" s="15">
        <x:v>44</x:v>
      </x:c>
      <x:c r="B45" s="16" t="s">
        <x:v>377</x:v>
      </x:c>
      <x:c r="C45" s="17" t="s">
        <x:v>378</x:v>
      </x:c>
      <x:c r="D45" s="18" t="s">
        <x:v>379</x:v>
      </x:c>
      <x:c r="E45" s="16" t="s">
        <x:v>311</x:v>
      </x:c>
      <x:c r="F45" s="16" t="s">
        <x:v>229</x:v>
      </x:c>
      <x:c r="G45" s="19">
        <x:v>6</x:v>
      </x:c>
      <x:c r="H45" s="20">
        <x:v>155</x:v>
      </x:c>
      <x:c r="I45" s="21">
        <x:v>930</x:v>
      </x:c>
    </x:row>
    <x:row r="46" ht="12" customHeight="1">
      <x:c r="A46" s="15">
        <x:v>45</x:v>
      </x:c>
      <x:c r="B46" s="16" t="s">
        <x:v>380</x:v>
      </x:c>
      <x:c r="C46" s="17" t="s">
        <x:v>381</x:v>
      </x:c>
      <x:c r="D46" s="18" t="s">
        <x:v>382</x:v>
      </x:c>
      <x:c r="E46" s="16" t="s">
        <x:v>277</x:v>
      </x:c>
      <x:c r="F46" s="16" t="s">
        <x:v>229</x:v>
      </x:c>
      <x:c r="G46" s="19">
        <x:v>6</x:v>
      </x:c>
      <x:c r="H46" s="20">
        <x:v>490</x:v>
      </x:c>
      <x:c r="I46" s="21">
        <x:v>2940</x:v>
      </x:c>
    </x:row>
    <x:row r="47" ht="12" customHeight="1">
      <x:c r="A47" s="15">
        <x:v>46</x:v>
      </x:c>
      <x:c r="B47" s="16" t="s">
        <x:v>383</x:v>
      </x:c>
      <x:c r="C47" s="17" t="s">
        <x:v>384</x:v>
      </x:c>
      <x:c r="D47" s="18" t="s">
        <x:v>385</x:v>
      </x:c>
      <x:c r="E47" s="16" t="s">
        <x:v>346</x:v>
      </x:c>
      <x:c r="F47" s="16" t="s">
        <x:v>229</x:v>
      </x:c>
      <x:c r="G47" s="19">
        <x:v>1</x:v>
      </x:c>
      <x:c r="H47" s="20">
        <x:v>7310</x:v>
      </x:c>
      <x:c r="I47" s="21">
        <x:v>7310</x:v>
      </x:c>
    </x:row>
    <x:row r="48" ht="12" customHeight="1">
      <x:c r="A48" s="15">
        <x:v>47</x:v>
      </x:c>
      <x:c r="B48" s="16" t="s">
        <x:v>386</x:v>
      </x:c>
      <x:c r="C48" s="17" t="s">
        <x:v>387</x:v>
      </x:c>
      <x:c r="D48" s="18" t="s">
        <x:v>388</x:v>
      </x:c>
      <x:c r="E48" s="16" t="s">
        <x:v>389</x:v>
      </x:c>
      <x:c r="F48" s="16" t="s">
        <x:v>229</x:v>
      </x:c>
      <x:c r="G48" s="19">
        <x:v>1</x:v>
      </x:c>
      <x:c r="H48" s="20">
        <x:v>1460</x:v>
      </x:c>
      <x:c r="I48" s="21">
        <x:v>1460</x:v>
      </x:c>
    </x:row>
    <x:row r="49" ht="12" customHeight="1">
      <x:c r="A49" s="15">
        <x:v>48</x:v>
      </x:c>
      <x:c r="B49" s="16" t="s">
        <x:v>390</x:v>
      </x:c>
      <x:c r="C49" s="17" t="s">
        <x:v>391</x:v>
      </x:c>
      <x:c r="D49" s="18" t="s">
        <x:v>392</x:v>
      </x:c>
      <x:c r="E49" s="16" t="s">
        <x:v>277</x:v>
      </x:c>
      <x:c r="F49" s="16" t="s">
        <x:v>229</x:v>
      </x:c>
      <x:c r="G49" s="19">
        <x:v>3</x:v>
      </x:c>
      <x:c r="H49" s="20">
        <x:v>2450</x:v>
      </x:c>
      <x:c r="I49" s="21">
        <x:v>7350</x:v>
      </x:c>
    </x:row>
    <x:row r="50" ht="12" customHeight="1">
      <x:c r="A50" s="15">
        <x:v>49</x:v>
      </x:c>
      <x:c r="B50" s="16" t="s">
        <x:v>393</x:v>
      </x:c>
      <x:c r="C50" s="17" t="s">
        <x:v>394</x:v>
      </x:c>
      <x:c r="D50" s="18" t="s">
        <x:v>395</x:v>
      </x:c>
      <x:c r="E50" s="16" t="s">
        <x:v>346</x:v>
      </x:c>
      <x:c r="F50" s="16" t="s">
        <x:v>229</x:v>
      </x:c>
      <x:c r="G50" s="19">
        <x:v>1</x:v>
      </x:c>
      <x:c r="H50" s="20">
        <x:v>2150</x:v>
      </x:c>
      <x:c r="I50" s="21">
        <x:v>2150</x:v>
      </x:c>
    </x:row>
    <x:row r="51" ht="12" customHeight="1">
      <x:c r="A51" s="15">
        <x:v>50</x:v>
      </x:c>
      <x:c r="B51" s="16" t="s">
        <x:v>396</x:v>
      </x:c>
      <x:c r="C51" s="17" t="s">
        <x:v>397</x:v>
      </x:c>
      <x:c r="D51" s="18" t="s">
        <x:v>398</x:v>
      </x:c>
      <x:c r="E51" s="16" t="s">
        <x:v>399</x:v>
      </x:c>
      <x:c r="F51" s="16" t="s">
        <x:v>229</x:v>
      </x:c>
      <x:c r="G51" s="19">
        <x:v>1</x:v>
      </x:c>
      <x:c r="H51" s="20">
        <x:v>2260</x:v>
      </x:c>
      <x:c r="I51" s="21">
        <x:v>2260</x:v>
      </x:c>
    </x:row>
    <x:row r="52" ht="12" customHeight="1">
      <x:c r="A52" s="15">
        <x:v>51</x:v>
      </x:c>
      <x:c r="B52" s="16" t="s">
        <x:v>400</x:v>
      </x:c>
      <x:c r="C52" s="17" t="s">
        <x:v>401</x:v>
      </x:c>
      <x:c r="D52" s="18" t="s">
        <x:v>402</x:v>
      </x:c>
      <x:c r="E52" s="16" t="s">
        <x:v>403</x:v>
      </x:c>
      <x:c r="F52" s="16" t="s">
        <x:v>229</x:v>
      </x:c>
      <x:c r="G52" s="19">
        <x:v>1</x:v>
      </x:c>
      <x:c r="H52" s="20">
        <x:v>185</x:v>
      </x:c>
      <x:c r="I52" s="21">
        <x:v>185</x:v>
      </x:c>
    </x:row>
    <x:row r="53" ht="12" customHeight="1">
      <x:c r="A53" s="15">
        <x:v>52</x:v>
      </x:c>
      <x:c r="B53" s="16" t="s">
        <x:v>404</x:v>
      </x:c>
      <x:c r="C53" s="17" t="s">
        <x:v>405</x:v>
      </x:c>
      <x:c r="D53" s="18" t="s">
        <x:v>406</x:v>
      </x:c>
      <x:c r="E53" s="16" t="s">
        <x:v>403</x:v>
      </x:c>
      <x:c r="F53" s="16" t="s">
        <x:v>229</x:v>
      </x:c>
      <x:c r="G53" s="19">
        <x:v>3</x:v>
      </x:c>
      <x:c r="H53" s="20">
        <x:v>119</x:v>
      </x:c>
      <x:c r="I53" s="21">
        <x:v>357</x:v>
      </x:c>
    </x:row>
    <x:row r="54" ht="12" customHeight="1">
      <x:c r="A54" s="15">
        <x:v>53</x:v>
      </x:c>
      <x:c r="B54" s="16" t="s">
        <x:v>407</x:v>
      </x:c>
      <x:c r="C54" s="17" t="s">
        <x:v>408</x:v>
      </x:c>
      <x:c r="D54" s="18" t="s">
        <x:v>409</x:v>
      </x:c>
      <x:c r="E54" s="16" t="s">
        <x:v>410</x:v>
      </x:c>
      <x:c r="F54" s="16" t="s">
        <x:v>229</x:v>
      </x:c>
      <x:c r="G54" s="19">
        <x:v>1</x:v>
      </x:c>
      <x:c r="H54" s="20">
        <x:v>22</x:v>
      </x:c>
      <x:c r="I54" s="21">
        <x:v>22</x:v>
      </x:c>
    </x:row>
    <x:row r="55" ht="12" customHeight="1">
      <x:c r="A55" s="15">
        <x:v>54</x:v>
      </x:c>
      <x:c r="B55" s="16" t="s">
        <x:v>411</x:v>
      </x:c>
      <x:c r="C55" s="17" t="s">
        <x:v>412</x:v>
      </x:c>
      <x:c r="D55" s="18" t="s">
        <x:v>413</x:v>
      </x:c>
      <x:c r="E55" s="16" t="s">
        <x:v>414</x:v>
      </x:c>
      <x:c r="F55" s="16" t="s">
        <x:v>229</x:v>
      </x:c>
      <x:c r="G55" s="19">
        <x:v>1</x:v>
      </x:c>
      <x:c r="H55" s="20">
        <x:v>440</x:v>
      </x:c>
      <x:c r="I55" s="21">
        <x:v>440</x:v>
      </x:c>
    </x:row>
    <x:row r="56" ht="12" customHeight="1">
      <x:c r="A56" s="15">
        <x:v>55</x:v>
      </x:c>
      <x:c r="B56" s="16" t="s">
        <x:v>415</x:v>
      </x:c>
      <x:c r="C56" s="17" t="s">
        <x:v>416</x:v>
      </x:c>
      <x:c r="D56" s="18" t="s">
        <x:v>417</x:v>
      </x:c>
      <x:c r="E56" s="16" t="s">
        <x:v>418</x:v>
      </x:c>
      <x:c r="F56" s="16" t="s">
        <x:v>229</x:v>
      </x:c>
      <x:c r="G56" s="19">
        <x:v>1</x:v>
      </x:c>
      <x:c r="H56" s="20">
        <x:v>36</x:v>
      </x:c>
      <x:c r="I56" s="21">
        <x:v>36</x:v>
      </x:c>
    </x:row>
    <x:row r="57" ht="12" customHeight="1">
      <x:c r="A57" s="15">
        <x:v>56</x:v>
      </x:c>
      <x:c r="B57" s="16" t="s">
        <x:v>419</x:v>
      </x:c>
      <x:c r="C57" s="17" t="s">
        <x:v>420</x:v>
      </x:c>
      <x:c r="D57" s="18" t="s">
        <x:v>421</x:v>
      </x:c>
      <x:c r="E57" s="16" t="s">
        <x:v>346</x:v>
      </x:c>
      <x:c r="F57" s="16" t="s">
        <x:v>422</x:v>
      </x:c>
      <x:c r="G57" s="19">
        <x:v>1</x:v>
      </x:c>
      <x:c r="H57" s="20">
        <x:v>135</x:v>
      </x:c>
      <x:c r="I57" s="21">
        <x:v>135</x:v>
      </x:c>
    </x:row>
    <x:row r="58" ht="12" customHeight="1">
      <x:c r="A58" s="15">
        <x:v>57</x:v>
      </x:c>
      <x:c r="B58" s="16" t="s">
        <x:v>423</x:v>
      </x:c>
      <x:c r="C58" s="17" t="s">
        <x:v>424</x:v>
      </x:c>
      <x:c r="D58" s="18" t="s">
        <x:v>425</x:v>
      </x:c>
      <x:c r="E58" s="16" t="s">
        <x:v>346</x:v>
      </x:c>
      <x:c r="F58" s="16" t="s">
        <x:v>422</x:v>
      </x:c>
      <x:c r="G58" s="19">
        <x:v>1</x:v>
      </x:c>
      <x:c r="H58" s="20">
        <x:v>135</x:v>
      </x:c>
      <x:c r="I58" s="21">
        <x:v>135</x:v>
      </x:c>
    </x:row>
    <x:row r="59" ht="12" customHeight="1">
      <x:c r="A59" s="15">
        <x:v>58</x:v>
      </x:c>
      <x:c r="B59" s="16" t="s">
        <x:v>426</x:v>
      </x:c>
      <x:c r="C59" s="17" t="s">
        <x:v>427</x:v>
      </x:c>
      <x:c r="D59" s="18" t="s">
        <x:v>428</x:v>
      </x:c>
      <x:c r="E59" s="16" t="s">
        <x:v>346</x:v>
      </x:c>
      <x:c r="F59" s="16" t="s">
        <x:v>422</x:v>
      </x:c>
      <x:c r="G59" s="19">
        <x:v>1</x:v>
      </x:c>
      <x:c r="H59" s="20">
        <x:v>109</x:v>
      </x:c>
      <x:c r="I59" s="21">
        <x:v>109</x:v>
      </x:c>
    </x:row>
    <x:row r="60" ht="12" customHeight="1">
      <x:c r="A60" s="15">
        <x:v>59</x:v>
      </x:c>
      <x:c r="B60" s="16" t="s">
        <x:v>429</x:v>
      </x:c>
      <x:c r="C60" s="17" t="s">
        <x:v>430</x:v>
      </x:c>
      <x:c r="D60" s="18" t="s">
        <x:v>431</x:v>
      </x:c>
      <x:c r="E60" s="16" t="s">
        <x:v>346</x:v>
      </x:c>
      <x:c r="F60" s="16" t="s">
        <x:v>422</x:v>
      </x:c>
      <x:c r="G60" s="19">
        <x:v>1</x:v>
      </x:c>
      <x:c r="H60" s="20">
        <x:v>109</x:v>
      </x:c>
      <x:c r="I60" s="21">
        <x:v>109</x:v>
      </x:c>
    </x:row>
    <x:row r="61" ht="12" customHeight="1">
      <x:c r="A61" s="15">
        <x:v>60</x:v>
      </x:c>
      <x:c r="B61" s="16" t="s">
        <x:v>432</x:v>
      </x:c>
      <x:c r="C61" s="17" t="s">
        <x:v>433</x:v>
      </x:c>
      <x:c r="D61" s="18" t="s">
        <x:v>434</x:v>
      </x:c>
      <x:c r="E61" s="16" t="s">
        <x:v>277</x:v>
      </x:c>
      <x:c r="F61" s="16" t="s">
        <x:v>422</x:v>
      </x:c>
      <x:c r="G61" s="19">
        <x:v>1</x:v>
      </x:c>
      <x:c r="H61" s="20">
        <x:v>109</x:v>
      </x:c>
      <x:c r="I61" s="21">
        <x:v>109</x:v>
      </x:c>
    </x:row>
    <x:row r="62" ht="12" customHeight="1">
      <x:c r="A62" s="15">
        <x:v>61</x:v>
      </x:c>
      <x:c r="B62" s="16" t="s">
        <x:v>435</x:v>
      </x:c>
      <x:c r="C62" s="17" t="s">
        <x:v>436</x:v>
      </x:c>
      <x:c r="D62" s="18" t="s">
        <x:v>437</x:v>
      </x:c>
      <x:c r="E62" s="16" t="s">
        <x:v>277</x:v>
      </x:c>
      <x:c r="F62" s="16" t="s">
        <x:v>422</x:v>
      </x:c>
      <x:c r="G62" s="19">
        <x:v>1</x:v>
      </x:c>
      <x:c r="H62" s="20">
        <x:v>109</x:v>
      </x:c>
      <x:c r="I62" s="21">
        <x:v>109</x:v>
      </x:c>
    </x:row>
    <x:row r="63" ht="12" customHeight="1">
      <x:c r="A63" s="15">
        <x:v>62</x:v>
      </x:c>
      <x:c r="B63" s="16" t="s">
        <x:v>438</x:v>
      </x:c>
      <x:c r="C63" s="17" t="s">
        <x:v>439</x:v>
      </x:c>
      <x:c r="D63" s="18" t="s">
        <x:v>440</x:v>
      </x:c>
      <x:c r="E63" s="16" t="s">
        <x:v>346</x:v>
      </x:c>
      <x:c r="F63" s="16" t="s">
        <x:v>422</x:v>
      </x:c>
      <x:c r="G63" s="19">
        <x:v>1</x:v>
      </x:c>
      <x:c r="H63" s="20">
        <x:v>109</x:v>
      </x:c>
      <x:c r="I63" s="21">
        <x:v>109</x:v>
      </x:c>
    </x:row>
    <x:row r="64" ht="12" customHeight="1">
      <x:c r="A64" s="15">
        <x:v>63</x:v>
      </x:c>
      <x:c r="B64" s="16" t="s">
        <x:v>441</x:v>
      </x:c>
      <x:c r="C64" s="17" t="s">
        <x:v>442</x:v>
      </x:c>
      <x:c r="D64" s="18" t="s">
        <x:v>443</x:v>
      </x:c>
      <x:c r="E64" s="16" t="s">
        <x:v>346</x:v>
      </x:c>
      <x:c r="F64" s="16" t="s">
        <x:v>422</x:v>
      </x:c>
      <x:c r="G64" s="19">
        <x:v>1</x:v>
      </x:c>
      <x:c r="H64" s="20">
        <x:v>109</x:v>
      </x:c>
      <x:c r="I64" s="21">
        <x:v>109</x:v>
      </x:c>
    </x:row>
    <x:row r="65" ht="12" customHeight="1">
      <x:c r="A65" s="15">
        <x:v>64</x:v>
      </x:c>
      <x:c r="B65" s="16" t="s">
        <x:v>444</x:v>
      </x:c>
      <x:c r="C65" s="17" t="s">
        <x:v>445</x:v>
      </x:c>
      <x:c r="D65" s="18" t="s">
        <x:v>446</x:v>
      </x:c>
      <x:c r="E65" s="16" t="s">
        <x:v>346</x:v>
      </x:c>
      <x:c r="F65" s="16" t="s">
        <x:v>422</x:v>
      </x:c>
      <x:c r="G65" s="19">
        <x:v>1</x:v>
      </x:c>
      <x:c r="H65" s="20">
        <x:v>109</x:v>
      </x:c>
      <x:c r="I65" s="21">
        <x:v>109</x:v>
      </x:c>
    </x:row>
    <x:row r="66" ht="12" customHeight="1">
      <x:c r="A66" s="15">
        <x:v>65</x:v>
      </x:c>
      <x:c r="B66" s="16" t="s">
        <x:v>447</x:v>
      </x:c>
      <x:c r="C66" s="17" t="s">
        <x:v>448</x:v>
      </x:c>
      <x:c r="D66" s="18" t="s">
        <x:v>449</x:v>
      </x:c>
      <x:c r="E66" s="16" t="s">
        <x:v>346</x:v>
      </x:c>
      <x:c r="F66" s="16" t="s">
        <x:v>422</x:v>
      </x:c>
      <x:c r="G66" s="19">
        <x:v>1</x:v>
      </x:c>
      <x:c r="H66" s="20">
        <x:v>109</x:v>
      </x:c>
      <x:c r="I66" s="21">
        <x:v>109</x:v>
      </x:c>
    </x:row>
    <x:row r="67" ht="12" customHeight="1">
      <x:c r="A67" s="15">
        <x:v>66</x:v>
      </x:c>
      <x:c r="B67" s="16" t="s">
        <x:v>450</x:v>
      </x:c>
      <x:c r="C67" s="17" t="s">
        <x:v>451</x:v>
      </x:c>
      <x:c r="D67" s="18" t="s">
        <x:v>452</x:v>
      </x:c>
      <x:c r="E67" s="16" t="s">
        <x:v>346</x:v>
      </x:c>
      <x:c r="F67" s="16" t="s">
        <x:v>422</x:v>
      </x:c>
      <x:c r="G67" s="19">
        <x:v>1</x:v>
      </x:c>
      <x:c r="H67" s="20">
        <x:v>109</x:v>
      </x:c>
      <x:c r="I67" s="21">
        <x:v>109</x:v>
      </x:c>
    </x:row>
    <x:row r="68" ht="12" customHeight="1">
      <x:c r="A68" s="15">
        <x:v>67</x:v>
      </x:c>
      <x:c r="B68" s="16" t="s">
        <x:v>453</x:v>
      </x:c>
      <x:c r="C68" s="17" t="s">
        <x:v>454</x:v>
      </x:c>
      <x:c r="D68" s="18" t="s">
        <x:v>455</x:v>
      </x:c>
      <x:c r="E68" s="16" t="s">
        <x:v>307</x:v>
      </x:c>
      <x:c r="F68" s="16" t="s">
        <x:v>229</x:v>
      </x:c>
      <x:c r="G68" s="19">
        <x:v>2</x:v>
      </x:c>
      <x:c r="H68" s="20">
        <x:v>1390</x:v>
      </x:c>
      <x:c r="I68" s="21">
        <x:v>2780</x:v>
      </x:c>
    </x:row>
    <x:row r="69" ht="12" customHeight="1">
      <x:c r="A69" s="15">
        <x:v>68</x:v>
      </x:c>
      <x:c r="B69" s="16" t="s">
        <x:v>456</x:v>
      </x:c>
      <x:c r="C69" s="17" t="s">
        <x:v>457</x:v>
      </x:c>
      <x:c r="D69" s="18" t="s">
        <x:v>458</x:v>
      </x:c>
      <x:c r="E69" s="16" t="s">
        <x:v>307</x:v>
      </x:c>
      <x:c r="F69" s="16" t="s">
        <x:v>229</x:v>
      </x:c>
      <x:c r="G69" s="19">
        <x:v>1</x:v>
      </x:c>
      <x:c r="H69" s="20">
        <x:v>1980</x:v>
      </x:c>
      <x:c r="I69" s="21">
        <x:v>1980</x:v>
      </x:c>
    </x:row>
    <x:row r="70" ht="12" customHeight="1">
      <x:c r="A70" s="15">
        <x:v>69</x:v>
      </x:c>
      <x:c r="B70" s="16" t="s">
        <x:v>459</x:v>
      </x:c>
      <x:c r="C70" s="17" t="s">
        <x:v>460</x:v>
      </x:c>
      <x:c r="D70" s="18" t="s">
        <x:v>461</x:v>
      </x:c>
      <x:c r="E70" s="16" t="s">
        <x:v>277</x:v>
      </x:c>
      <x:c r="F70" s="16" t="s">
        <x:v>229</x:v>
      </x:c>
      <x:c r="G70" s="19">
        <x:v>2</x:v>
      </x:c>
      <x:c r="H70" s="20">
        <x:v>770</x:v>
      </x:c>
      <x:c r="I70" s="21">
        <x:v>1540</x:v>
      </x:c>
    </x:row>
    <x:row r="71" ht="19.5" customHeight="1">
      <x:c r="A71" s="15">
        <x:v>70</x:v>
      </x:c>
      <x:c r="B71" s="16" t="s">
        <x:v>462</x:v>
      </x:c>
      <x:c r="C71" s="17" t="s">
        <x:v>463</x:v>
      </x:c>
      <x:c r="D71" s="18" t="s">
        <x:v>464</x:v>
      </x:c>
      <x:c r="E71" s="16" t="s">
        <x:v>465</x:v>
      </x:c>
      <x:c r="F71" s="16" t="s">
        <x:v>229</x:v>
      </x:c>
      <x:c r="G71" s="19">
        <x:v>1</x:v>
      </x:c>
      <x:c r="H71" s="20">
        <x:v>39</x:v>
      </x:c>
      <x:c r="I71" s="21">
        <x:v>39</x:v>
      </x:c>
    </x:row>
    <x:row r="72" ht="12" customHeight="1">
      <x:c r="A72" s="15">
        <x:v>71</x:v>
      </x:c>
      <x:c r="B72" s="16" t="s">
        <x:v>466</x:v>
      </x:c>
      <x:c r="C72" s="17" t="s">
        <x:v>467</x:v>
      </x:c>
      <x:c r="D72" s="18" t="s">
        <x:v>468</x:v>
      </x:c>
      <x:c r="E72" s="16" t="s">
        <x:v>261</x:v>
      </x:c>
      <x:c r="F72" s="16" t="s">
        <x:v>229</x:v>
      </x:c>
      <x:c r="G72" s="19">
        <x:v>12</x:v>
      </x:c>
      <x:c r="H72" s="20">
        <x:v>106</x:v>
      </x:c>
      <x:c r="I72" s="21">
        <x:v>1272</x:v>
      </x:c>
    </x:row>
    <x:row r="73" ht="12" customHeight="1">
      <x:c r="A73" s="15">
        <x:v>72</x:v>
      </x:c>
      <x:c r="B73" s="16" t="s">
        <x:v>469</x:v>
      </x:c>
      <x:c r="C73" s="17" t="s">
        <x:v>470</x:v>
      </x:c>
      <x:c r="D73" s="18" t="s">
        <x:v>471</x:v>
      </x:c>
      <x:c r="E73" s="16" t="s">
        <x:v>281</x:v>
      </x:c>
      <x:c r="F73" s="16" t="s">
        <x:v>229</x:v>
      </x:c>
      <x:c r="G73" s="19">
        <x:v>3</x:v>
      </x:c>
      <x:c r="H73" s="20">
        <x:v>310</x:v>
      </x:c>
      <x:c r="I73" s="21">
        <x:v>930</x:v>
      </x:c>
    </x:row>
    <x:row r="74" ht="12" customHeight="1">
      <x:c r="A74" s="15">
        <x:v>73</x:v>
      </x:c>
      <x:c r="B74" s="16" t="s">
        <x:v>472</x:v>
      </x:c>
      <x:c r="C74" s="17" t="s">
        <x:v>473</x:v>
      </x:c>
      <x:c r="D74" s="18" t="s">
        <x:v>474</x:v>
      </x:c>
      <x:c r="E74" s="16" t="s">
        <x:v>250</x:v>
      </x:c>
      <x:c r="F74" s="16" t="s">
        <x:v>229</x:v>
      </x:c>
      <x:c r="G74" s="19">
        <x:v>3</x:v>
      </x:c>
      <x:c r="H74" s="20">
        <x:v>52</x:v>
      </x:c>
      <x:c r="I74" s="21">
        <x:v>156</x:v>
      </x:c>
    </x:row>
    <x:row r="75" ht="12" customHeight="1">
      <x:c r="A75" s="15">
        <x:v>74</x:v>
      </x:c>
      <x:c r="B75" s="16" t="s">
        <x:v>475</x:v>
      </x:c>
      <x:c r="C75" s="17" t="s">
        <x:v>476</x:v>
      </x:c>
      <x:c r="D75" s="18" t="s">
        <x:v>477</x:v>
      </x:c>
      <x:c r="E75" s="16" t="s">
        <x:v>281</x:v>
      </x:c>
      <x:c r="F75" s="16" t="s">
        <x:v>229</x:v>
      </x:c>
      <x:c r="G75" s="19">
        <x:v>1</x:v>
      </x:c>
      <x:c r="H75" s="20">
        <x:v>860</x:v>
      </x:c>
      <x:c r="I75" s="21">
        <x:v>860</x:v>
      </x:c>
    </x:row>
    <x:row r="76" ht="12" customHeight="1">
      <x:c r="A76" s="15">
        <x:v>75</x:v>
      </x:c>
      <x:c r="B76" s="16" t="s">
        <x:v>478</x:v>
      </x:c>
      <x:c r="C76" s="17" t="s">
        <x:v>479</x:v>
      </x:c>
      <x:c r="D76" s="18" t="s">
        <x:v>480</x:v>
      </x:c>
      <x:c r="E76" s="16" t="s">
        <x:v>281</x:v>
      </x:c>
      <x:c r="F76" s="16" t="s">
        <x:v>229</x:v>
      </x:c>
      <x:c r="G76" s="19">
        <x:v>1</x:v>
      </x:c>
      <x:c r="H76" s="20">
        <x:v>510</x:v>
      </x:c>
      <x:c r="I76" s="21">
        <x:v>510</x:v>
      </x:c>
    </x:row>
    <x:row r="77" ht="12" customHeight="1">
      <x:c r="A77" s="15">
        <x:v>76</x:v>
      </x:c>
      <x:c r="B77" s="16" t="s">
        <x:v>481</x:v>
      </x:c>
      <x:c r="C77" s="17" t="s">
        <x:v>482</x:v>
      </x:c>
      <x:c r="D77" s="18" t="s">
        <x:v>483</x:v>
      </x:c>
      <x:c r="E77" s="16" t="s">
        <x:v>484</x:v>
      </x:c>
      <x:c r="F77" s="16" t="s">
        <x:v>229</x:v>
      </x:c>
      <x:c r="G77" s="19">
        <x:v>2</x:v>
      </x:c>
      <x:c r="H77" s="20">
        <x:v>195</x:v>
      </x:c>
      <x:c r="I77" s="21">
        <x:v>390</x:v>
      </x:c>
    </x:row>
    <x:row r="78" ht="12" customHeight="1">
      <x:c r="A78" s="15">
        <x:v>77</x:v>
      </x:c>
      <x:c r="B78" s="16" t="s">
        <x:v>485</x:v>
      </x:c>
      <x:c r="C78" s="17" t="s">
        <x:v>486</x:v>
      </x:c>
      <x:c r="D78" s="18" t="s">
        <x:v>487</x:v>
      </x:c>
      <x:c r="E78" s="16" t="s">
        <x:v>488</x:v>
      </x:c>
      <x:c r="F78" s="16" t="s">
        <x:v>229</x:v>
      </x:c>
      <x:c r="G78" s="19">
        <x:v>2</x:v>
      </x:c>
      <x:c r="H78" s="20">
        <x:v>118</x:v>
      </x:c>
      <x:c r="I78" s="21">
        <x:v>236</x:v>
      </x:c>
    </x:row>
    <x:row r="79" ht="12" customHeight="1">
      <x:c r="A79" s="15">
        <x:v>78</x:v>
      </x:c>
      <x:c r="B79" s="16" t="s">
        <x:v>489</x:v>
      </x:c>
      <x:c r="C79" s="17" t="s">
        <x:v>490</x:v>
      </x:c>
      <x:c r="D79" s="18" t="s">
        <x:v>491</x:v>
      </x:c>
      <x:c r="E79" s="16" t="s">
        <x:v>277</x:v>
      </x:c>
      <x:c r="F79" s="16" t="s">
        <x:v>229</x:v>
      </x:c>
      <x:c r="G79" s="19">
        <x:v>3</x:v>
      </x:c>
      <x:c r="H79" s="20">
        <x:v>380</x:v>
      </x:c>
      <x:c r="I79" s="21">
        <x:v>1140</x:v>
      </x:c>
    </x:row>
    <x:row r="80" ht="12" customHeight="1">
      <x:c r="A80" s="15">
        <x:v>79</x:v>
      </x:c>
      <x:c r="B80" s="16" t="s">
        <x:v>492</x:v>
      </x:c>
      <x:c r="C80" s="17" t="s">
        <x:v>493</x:v>
      </x:c>
      <x:c r="D80" s="18" t="s">
        <x:v>494</x:v>
      </x:c>
      <x:c r="E80" s="16" t="s">
        <x:v>307</x:v>
      </x:c>
      <x:c r="F80" s="16" t="s">
        <x:v>229</x:v>
      </x:c>
      <x:c r="G80" s="19">
        <x:v>2</x:v>
      </x:c>
      <x:c r="H80" s="20">
        <x:v>4490</x:v>
      </x:c>
      <x:c r="I80" s="21">
        <x:v>8980</x:v>
      </x:c>
    </x:row>
    <x:row r="81" ht="12" customHeight="1">
      <x:c r="A81" s="15">
        <x:v>80</x:v>
      </x:c>
      <x:c r="B81" s="16" t="s">
        <x:v>495</x:v>
      </x:c>
      <x:c r="C81" s="17" t="s">
        <x:v>496</x:v>
      </x:c>
      <x:c r="D81" s="18" t="s">
        <x:v>497</x:v>
      </x:c>
      <x:c r="E81" s="16" t="s">
        <x:v>307</x:v>
      </x:c>
      <x:c r="F81" s="16" t="s">
        <x:v>229</x:v>
      </x:c>
      <x:c r="G81" s="19">
        <x:v>1</x:v>
      </x:c>
      <x:c r="H81" s="20">
        <x:v>5150</x:v>
      </x:c>
      <x:c r="I81" s="21">
        <x:v>5150</x:v>
      </x:c>
    </x:row>
    <x:row r="82" ht="12" customHeight="1">
      <x:c r="A82" s="15">
        <x:v>81</x:v>
      </x:c>
      <x:c r="B82" s="16" t="s">
        <x:v>498</x:v>
      </x:c>
      <x:c r="C82" s="17" t="s">
        <x:v>499</x:v>
      </x:c>
      <x:c r="D82" s="18" t="s">
        <x:v>500</x:v>
      </x:c>
      <x:c r="E82" s="16" t="s">
        <x:v>277</x:v>
      </x:c>
      <x:c r="F82" s="16" t="s">
        <x:v>229</x:v>
      </x:c>
      <x:c r="G82" s="19">
        <x:v>12</x:v>
      </x:c>
      <x:c r="H82" s="20">
        <x:v>119</x:v>
      </x:c>
      <x:c r="I82" s="21">
        <x:v>1428</x:v>
      </x:c>
    </x:row>
    <x:row r="83" ht="12" customHeight="1">
      <x:c r="A83" s="15">
        <x:v>82</x:v>
      </x:c>
      <x:c r="B83" s="16" t="s">
        <x:v>501</x:v>
      </x:c>
      <x:c r="C83" s="17" t="s">
        <x:v>502</x:v>
      </x:c>
      <x:c r="D83" s="18" t="s">
        <x:v>503</x:v>
      </x:c>
      <x:c r="E83" s="16" t="s">
        <x:v>277</x:v>
      </x:c>
      <x:c r="F83" s="16" t="s">
        <x:v>229</x:v>
      </x:c>
      <x:c r="G83" s="19">
        <x:v>12</x:v>
      </x:c>
      <x:c r="H83" s="20">
        <x:v>140</x:v>
      </x:c>
      <x:c r="I83" s="21">
        <x:v>1680</x:v>
      </x:c>
    </x:row>
    <x:row r="84" ht="12" customHeight="1">
      <x:c r="A84" s="15">
        <x:v>83</x:v>
      </x:c>
      <x:c r="B84" s="16" t="s">
        <x:v>504</x:v>
      </x:c>
      <x:c r="C84" s="17" t="s">
        <x:v>505</x:v>
      </x:c>
      <x:c r="D84" s="18" t="s">
        <x:v>506</x:v>
      </x:c>
      <x:c r="E84" s="16" t="s">
        <x:v>507</x:v>
      </x:c>
      <x:c r="F84" s="16" t="s">
        <x:v>229</x:v>
      </x:c>
      <x:c r="G84" s="19">
        <x:v>1</x:v>
      </x:c>
      <x:c r="H84" s="20">
        <x:v>2110</x:v>
      </x:c>
      <x:c r="I84" s="21">
        <x:v>2110</x:v>
      </x:c>
    </x:row>
    <x:row r="85" ht="12" customHeight="1">
      <x:c r="A85" s="15">
        <x:v>84</x:v>
      </x:c>
      <x:c r="B85" s="16" t="s">
        <x:v>508</x:v>
      </x:c>
      <x:c r="C85" s="17" t="s">
        <x:v>509</x:v>
      </x:c>
      <x:c r="D85" s="18" t="s">
        <x:v>510</x:v>
      </x:c>
      <x:c r="E85" s="16" t="s">
        <x:v>511</x:v>
      </x:c>
      <x:c r="F85" s="16" t="s">
        <x:v>229</x:v>
      </x:c>
      <x:c r="G85" s="19">
        <x:v>1</x:v>
      </x:c>
      <x:c r="H85" s="20">
        <x:v>49</x:v>
      </x:c>
      <x:c r="I85" s="21">
        <x:v>49</x:v>
      </x:c>
    </x:row>
    <x:row r="86" ht="12" customHeight="1">
      <x:c r="A86" s="15">
        <x:v>85</x:v>
      </x:c>
      <x:c r="B86" s="16" t="s">
        <x:v>512</x:v>
      </x:c>
      <x:c r="C86" s="17" t="s">
        <x:v>513</x:v>
      </x:c>
      <x:c r="D86" s="18" t="s">
        <x:v>514</x:v>
      </x:c>
      <x:c r="E86" s="16" t="s">
        <x:v>296</x:v>
      </x:c>
      <x:c r="F86" s="16" t="s">
        <x:v>229</x:v>
      </x:c>
      <x:c r="G86" s="19">
        <x:v>1</x:v>
      </x:c>
      <x:c r="H86" s="20">
        <x:v>115</x:v>
      </x:c>
      <x:c r="I86" s="21">
        <x:v>115</x:v>
      </x:c>
    </x:row>
    <x:row r="87" ht="12" customHeight="1">
      <x:c r="A87" s="15">
        <x:v>86</x:v>
      </x:c>
      <x:c r="B87" s="16" t="s">
        <x:v>515</x:v>
      </x:c>
      <x:c r="C87" s="17" t="s">
        <x:v>516</x:v>
      </x:c>
      <x:c r="D87" s="18" t="s">
        <x:v>517</x:v>
      </x:c>
      <x:c r="E87" s="16" t="s">
        <x:v>518</x:v>
      </x:c>
      <x:c r="F87" s="16" t="s">
        <x:v>229</x:v>
      </x:c>
      <x:c r="G87" s="19">
        <x:v>1</x:v>
      </x:c>
      <x:c r="H87" s="20">
        <x:v>298</x:v>
      </x:c>
      <x:c r="I87" s="21">
        <x:v>298</x:v>
      </x:c>
    </x:row>
    <x:row r="88" ht="12" customHeight="1">
      <x:c r="A88" s="15">
        <x:v>87</x:v>
      </x:c>
      <x:c r="B88" s="16" t="s">
        <x:v>519</x:v>
      </x:c>
      <x:c r="C88" s="17" t="s">
        <x:v>520</x:v>
      </x:c>
      <x:c r="D88" s="18" t="s">
        <x:v>521</x:v>
      </x:c>
      <x:c r="E88" s="16" t="s">
        <x:v>522</x:v>
      </x:c>
      <x:c r="F88" s="16" t="s">
        <x:v>229</x:v>
      </x:c>
      <x:c r="G88" s="19">
        <x:v>3</x:v>
      </x:c>
      <x:c r="H88" s="20">
        <x:v>129</x:v>
      </x:c>
      <x:c r="I88" s="21">
        <x:v>387</x:v>
      </x:c>
    </x:row>
    <x:row r="89" ht="19.5" customHeight="1">
      <x:c r="A89" s="15">
        <x:v>88</x:v>
      </x:c>
      <x:c r="B89" s="16" t="s">
        <x:v>523</x:v>
      </x:c>
      <x:c r="C89" s="17" t="s">
        <x:v>524</x:v>
      </x:c>
      <x:c r="D89" s="18" t="s">
        <x:v>525</x:v>
      </x:c>
      <x:c r="E89" s="16" t="s">
        <x:v>526</x:v>
      </x:c>
      <x:c r="F89" s="16" t="s">
        <x:v>527</x:v>
      </x:c>
      <x:c r="G89" s="19">
        <x:v>3</x:v>
      </x:c>
      <x:c r="H89" s="20">
        <x:v>290</x:v>
      </x:c>
      <x:c r="I89" s="21">
        <x:v>870</x:v>
      </x:c>
    </x:row>
    <x:row r="90" ht="12" customHeight="1">
      <x:c r="A90" s="15">
        <x:v>89</x:v>
      </x:c>
      <x:c r="B90" s="16" t="s">
        <x:v>528</x:v>
      </x:c>
      <x:c r="C90" s="17" t="s">
        <x:v>529</x:v>
      </x:c>
      <x:c r="D90" s="18" t="s">
        <x:v>530</x:v>
      </x:c>
      <x:c r="E90" s="16" t="s">
        <x:v>296</x:v>
      </x:c>
      <x:c r="F90" s="16" t="s">
        <x:v>229</x:v>
      </x:c>
      <x:c r="G90" s="19">
        <x:v>3</x:v>
      </x:c>
      <x:c r="H90" s="20">
        <x:v>78</x:v>
      </x:c>
      <x:c r="I90" s="21">
        <x:v>234</x:v>
      </x:c>
    </x:row>
    <x:row r="91" ht="12" customHeight="1">
      <x:c r="A91" s="15">
        <x:v>90</x:v>
      </x:c>
      <x:c r="B91" s="16" t="s">
        <x:v>531</x:v>
      </x:c>
      <x:c r="C91" s="17" t="s">
        <x:v>532</x:v>
      </x:c>
      <x:c r="D91" s="18" t="s">
        <x:v>533</x:v>
      </x:c>
      <x:c r="E91" s="16" t="s">
        <x:v>399</x:v>
      </x:c>
      <x:c r="F91" s="16" t="s">
        <x:v>229</x:v>
      </x:c>
      <x:c r="G91" s="19">
        <x:v>3</x:v>
      </x:c>
      <x:c r="H91" s="20">
        <x:v>880</x:v>
      </x:c>
      <x:c r="I91" s="21">
        <x:v>2640</x:v>
      </x:c>
    </x:row>
    <x:row r="92" ht="19.5" customHeight="1">
      <x:c r="A92" s="15">
        <x:v>91</x:v>
      </x:c>
      <x:c r="B92" s="16" t="s">
        <x:v>534</x:v>
      </x:c>
      <x:c r="C92" s="17" t="s">
        <x:v>535</x:v>
      </x:c>
      <x:c r="D92" s="18" t="s">
        <x:v>536</x:v>
      </x:c>
      <x:c r="E92" s="16" t="s">
        <x:v>399</x:v>
      </x:c>
      <x:c r="F92" s="16" t="s">
        <x:v>229</x:v>
      </x:c>
      <x:c r="G92" s="19">
        <x:v>3</x:v>
      </x:c>
      <x:c r="H92" s="20">
        <x:v>255</x:v>
      </x:c>
      <x:c r="I92" s="21">
        <x:v>765</x:v>
      </x:c>
    </x:row>
    <x:row r="93" ht="12" customHeight="1">
      <x:c r="A93" s="15">
        <x:v>92</x:v>
      </x:c>
      <x:c r="B93" s="16" t="s">
        <x:v>537</x:v>
      </x:c>
      <x:c r="C93" s="17" t="s">
        <x:v>538</x:v>
      </x:c>
      <x:c r="D93" s="18" t="s">
        <x:v>539</x:v>
      </x:c>
      <x:c r="E93" s="16" t="s">
        <x:v>540</x:v>
      </x:c>
      <x:c r="F93" s="16" t="s">
        <x:v>229</x:v>
      </x:c>
      <x:c r="G93" s="19">
        <x:v>3</x:v>
      </x:c>
      <x:c r="H93" s="20">
        <x:v>266</x:v>
      </x:c>
      <x:c r="I93" s="21">
        <x:v>798</x:v>
      </x:c>
    </x:row>
    <x:row r="94" ht="12" customHeight="1">
      <x:c r="A94" s="15">
        <x:v>93</x:v>
      </x:c>
      <x:c r="B94" s="16" t="s">
        <x:v>541</x:v>
      </x:c>
      <x:c r="C94" s="17" t="s">
        <x:v>542</x:v>
      </x:c>
      <x:c r="D94" s="18" t="s">
        <x:v>543</x:v>
      </x:c>
      <x:c r="E94" s="16" t="s">
        <x:v>399</x:v>
      </x:c>
      <x:c r="F94" s="16" t="s">
        <x:v>229</x:v>
      </x:c>
      <x:c r="G94" s="19">
        <x:v>3</x:v>
      </x:c>
      <x:c r="H94" s="20">
        <x:v>340</x:v>
      </x:c>
      <x:c r="I94" s="21">
        <x:v>1020</x:v>
      </x:c>
    </x:row>
    <x:row r="95" ht="19.5" customHeight="1">
      <x:c r="A95" s="15">
        <x:v>94</x:v>
      </x:c>
      <x:c r="B95" s="16" t="s">
        <x:v>544</x:v>
      </x:c>
      <x:c r="C95" s="17" t="s">
        <x:v>545</x:v>
      </x:c>
      <x:c r="D95" s="18" t="s">
        <x:v>546</x:v>
      </x:c>
      <x:c r="E95" s="16" t="s">
        <x:v>399</x:v>
      </x:c>
      <x:c r="F95" s="16" t="s">
        <x:v>229</x:v>
      </x:c>
      <x:c r="G95" s="19">
        <x:v>3</x:v>
      </x:c>
      <x:c r="H95" s="20">
        <x:v>493</x:v>
      </x:c>
      <x:c r="I95" s="21">
        <x:v>1479</x:v>
      </x:c>
    </x:row>
    <x:row r="96" ht="12" customHeight="1">
      <x:c r="A96" s="15">
        <x:v>95</x:v>
      </x:c>
      <x:c r="B96" s="16" t="s">
        <x:v>547</x:v>
      </x:c>
      <x:c r="C96" s="17" t="s">
        <x:v>548</x:v>
      </x:c>
      <x:c r="D96" s="18" t="s">
        <x:v>549</x:v>
      </x:c>
      <x:c r="E96" s="16" t="s">
        <x:v>550</x:v>
      </x:c>
      <x:c r="F96" s="16" t="s">
        <x:v>551</x:v>
      </x:c>
      <x:c r="G96" s="19">
        <x:v>4</x:v>
      </x:c>
      <x:c r="H96" s="20">
        <x:v>1390</x:v>
      </x:c>
      <x:c r="I96" s="21">
        <x:v>5560</x:v>
      </x:c>
    </x:row>
    <x:row r="97" ht="12" customHeight="1">
      <x:c r="A97" s="15">
        <x:v>96</x:v>
      </x:c>
      <x:c r="B97" s="16" t="s">
        <x:v>552</x:v>
      </x:c>
      <x:c r="C97" s="17" t="s">
        <x:v>553</x:v>
      </x:c>
      <x:c r="D97" s="18" t="s">
        <x:v>554</x:v>
      </x:c>
      <x:c r="E97" s="16" t="s">
        <x:v>550</x:v>
      </x:c>
      <x:c r="F97" s="16" t="s">
        <x:v>551</x:v>
      </x:c>
      <x:c r="G97" s="19">
        <x:v>5</x:v>
      </x:c>
      <x:c r="H97" s="20">
        <x:v>435</x:v>
      </x:c>
      <x:c r="I97" s="21">
        <x:v>2175</x:v>
      </x:c>
    </x:row>
    <x:row r="98" ht="12" customHeight="1">
      <x:c r="A98" s="15">
        <x:v>97</x:v>
      </x:c>
      <x:c r="B98" s="16" t="s">
        <x:v>555</x:v>
      </x:c>
      <x:c r="C98" s="17" t="s">
        <x:v>556</x:v>
      </x:c>
      <x:c r="D98" s="18" t="s">
        <x:v>557</x:v>
      </x:c>
      <x:c r="E98" s="16" t="s">
        <x:v>558</x:v>
      </x:c>
      <x:c r="F98" s="16" t="s">
        <x:v>551</x:v>
      </x:c>
      <x:c r="G98" s="19">
        <x:v>6</x:v>
      </x:c>
      <x:c r="H98" s="20">
        <x:v>30</x:v>
      </x:c>
      <x:c r="I98" s="21">
        <x:v>180</x:v>
      </x:c>
    </x:row>
    <x:row r="99" ht="12" customHeight="1">
      <x:c r="A99" s="15">
        <x:v>98</x:v>
      </x:c>
      <x:c r="B99" s="16" t="s">
        <x:v>559</x:v>
      </x:c>
      <x:c r="C99" s="17" t="s">
        <x:v>560</x:v>
      </x:c>
      <x:c r="D99" s="18" t="s">
        <x:v>561</x:v>
      </x:c>
      <x:c r="E99" s="16" t="s">
        <x:v>558</x:v>
      </x:c>
      <x:c r="F99" s="16" t="s">
        <x:v>551</x:v>
      </x:c>
      <x:c r="G99" s="19">
        <x:v>3</x:v>
      </x:c>
      <x:c r="H99" s="20">
        <x:v>30</x:v>
      </x:c>
      <x:c r="I99" s="21">
        <x:v>90</x:v>
      </x:c>
    </x:row>
    <x:row r="100" ht="12" customHeight="1">
      <x:c r="A100" s="15">
        <x:v>99</x:v>
      </x:c>
      <x:c r="B100" s="16" t="s">
        <x:v>562</x:v>
      </x:c>
      <x:c r="C100" s="17" t="s">
        <x:v>563</x:v>
      </x:c>
      <x:c r="D100" s="18" t="s">
        <x:v>564</x:v>
      </x:c>
      <x:c r="E100" s="16" t="s">
        <x:v>273</x:v>
      </x:c>
      <x:c r="F100" s="16" t="s">
        <x:v>565</x:v>
      </x:c>
      <x:c r="G100" s="19">
        <x:v>3</x:v>
      </x:c>
      <x:c r="H100" s="20">
        <x:v>660</x:v>
      </x:c>
      <x:c r="I100" s="21">
        <x:v>1980</x:v>
      </x:c>
    </x:row>
    <x:row r="101" ht="12" customHeight="1">
      <x:c r="A101" s="15">
        <x:v>100</x:v>
      </x:c>
      <x:c r="B101" s="16" t="s">
        <x:v>566</x:v>
      </x:c>
      <x:c r="C101" s="17" t="s">
        <x:v>567</x:v>
      </x:c>
      <x:c r="D101" s="18" t="s">
        <x:v>568</x:v>
      </x:c>
      <x:c r="E101" s="16" t="s">
        <x:v>273</x:v>
      </x:c>
      <x:c r="F101" s="16" t="s">
        <x:v>551</x:v>
      </x:c>
      <x:c r="G101" s="19">
        <x:v>3</x:v>
      </x:c>
      <x:c r="H101" s="20">
        <x:v>1650</x:v>
      </x:c>
      <x:c r="I101" s="21">
        <x:v>4950</x:v>
      </x:c>
    </x:row>
    <x:row r="102" ht="19.5" customHeight="1">
      <x:c r="A102" s="15">
        <x:v>101</x:v>
      </x:c>
      <x:c r="B102" s="16" t="s">
        <x:v>569</x:v>
      </x:c>
      <x:c r="C102" s="17" t="s">
        <x:v>570</x:v>
      </x:c>
      <x:c r="D102" s="18" t="s">
        <x:v>571</x:v>
      </x:c>
      <x:c r="E102" s="16" t="s">
        <x:v>572</x:v>
      </x:c>
      <x:c r="F102" s="16" t="s">
        <x:v>551</x:v>
      </x:c>
      <x:c r="G102" s="19">
        <x:v>6</x:v>
      </x:c>
      <x:c r="H102" s="20">
        <x:v>135.5</x:v>
      </x:c>
      <x:c r="I102" s="21">
        <x:v>813</x:v>
      </x:c>
    </x:row>
    <x:row r="103" ht="12" customHeight="1">
      <x:c r="A103" s="15">
        <x:v>102</x:v>
      </x:c>
      <x:c r="B103" s="16" t="s">
        <x:v>573</x:v>
      </x:c>
      <x:c r="C103" s="17" t="s">
        <x:v>574</x:v>
      </x:c>
      <x:c r="D103" s="18" t="s">
        <x:v>575</x:v>
      </x:c>
      <x:c r="E103" s="16" t="s">
        <x:v>576</x:v>
      </x:c>
      <x:c r="F103" s="16" t="s">
        <x:v>229</x:v>
      </x:c>
      <x:c r="G103" s="19">
        <x:v>3</x:v>
      </x:c>
      <x:c r="H103" s="20">
        <x:v>26</x:v>
      </x:c>
      <x:c r="I103" s="21">
        <x:v>78</x:v>
      </x:c>
    </x:row>
    <x:row r="104" ht="12" customHeight="1">
      <x:c r="A104" s="15">
        <x:v>103</x:v>
      </x:c>
      <x:c r="B104" s="16" t="s">
        <x:v>577</x:v>
      </x:c>
      <x:c r="C104" s="17" t="s">
        <x:v>578</x:v>
      </x:c>
      <x:c r="D104" s="18" t="s">
        <x:v>579</x:v>
      </x:c>
      <x:c r="E104" s="16" t="s">
        <x:v>580</x:v>
      </x:c>
      <x:c r="F104" s="16" t="s">
        <x:v>229</x:v>
      </x:c>
      <x:c r="G104" s="19">
        <x:v>3</x:v>
      </x:c>
      <x:c r="H104" s="20">
        <x:v>22</x:v>
      </x:c>
      <x:c r="I104" s="21">
        <x:v>66</x:v>
      </x:c>
    </x:row>
    <x:row r="105" ht="12" customHeight="1">
      <x:c r="A105" s="15">
        <x:v>104</x:v>
      </x:c>
      <x:c r="B105" s="16" t="s">
        <x:v>581</x:v>
      </x:c>
      <x:c r="C105" s="17" t="s">
        <x:v>582</x:v>
      </x:c>
      <x:c r="D105" s="18" t="s">
        <x:v>583</x:v>
      </x:c>
      <x:c r="E105" s="16" t="s">
        <x:v>584</x:v>
      </x:c>
      <x:c r="F105" s="16" t="s">
        <x:v>585</x:v>
      </x:c>
      <x:c r="G105" s="19">
        <x:v>1</x:v>
      </x:c>
      <x:c r="H105" s="20">
        <x:v>34</x:v>
      </x:c>
      <x:c r="I105" s="21">
        <x:v>34</x:v>
      </x:c>
    </x:row>
    <x:row r="106" ht="12" customHeight="1">
      <x:c r="A106" s="15">
        <x:v>105</x:v>
      </x:c>
      <x:c r="B106" s="16" t="s">
        <x:v>586</x:v>
      </x:c>
      <x:c r="C106" s="17" t="s">
        <x:v>587</x:v>
      </x:c>
      <x:c r="D106" s="18" t="s">
        <x:v>588</x:v>
      </x:c>
      <x:c r="E106" s="16" t="s">
        <x:v>589</x:v>
      </x:c>
      <x:c r="F106" s="16" t="s">
        <x:v>590</x:v>
      </x:c>
      <x:c r="G106" s="19">
        <x:v>3</x:v>
      </x:c>
      <x:c r="H106" s="20">
        <x:v>41</x:v>
      </x:c>
      <x:c r="I106" s="21">
        <x:v>123</x:v>
      </x:c>
    </x:row>
    <x:row r="107" ht="12" customHeight="1">
      <x:c r="A107" s="15">
        <x:v>106</x:v>
      </x:c>
      <x:c r="B107" s="16" t="s">
        <x:v>591</x:v>
      </x:c>
      <x:c r="C107" s="17" t="s">
        <x:v>592</x:v>
      </x:c>
      <x:c r="D107" s="18" t="s">
        <x:v>593</x:v>
      </x:c>
      <x:c r="E107" s="16" t="s">
        <x:v>594</x:v>
      </x:c>
      <x:c r="F107" s="16" t="s">
        <x:v>229</x:v>
      </x:c>
      <x:c r="G107" s="19">
        <x:v>1</x:v>
      </x:c>
      <x:c r="H107" s="20">
        <x:v>810</x:v>
      </x:c>
      <x:c r="I107" s="21">
        <x:v>810</x:v>
      </x:c>
    </x:row>
    <x:row r="108" ht="12" customHeight="1">
      <x:c r="A108" s="15">
        <x:v>107</x:v>
      </x:c>
      <x:c r="B108" s="16" t="s">
        <x:v>595</x:v>
      </x:c>
      <x:c r="C108" s="17" t="s">
        <x:v>596</x:v>
      </x:c>
      <x:c r="D108" s="18" t="s">
        <x:v>597</x:v>
      </x:c>
      <x:c r="E108" s="16" t="s">
        <x:v>598</x:v>
      </x:c>
      <x:c r="F108" s="16" t="s">
        <x:v>229</x:v>
      </x:c>
      <x:c r="G108" s="19">
        <x:v>1</x:v>
      </x:c>
      <x:c r="H108" s="20">
        <x:v>660</x:v>
      </x:c>
      <x:c r="I108" s="21">
        <x:v>660</x:v>
      </x:c>
    </x:row>
    <x:row r="109" ht="12" customHeight="1">
      <x:c r="A109" s="15">
        <x:v>108</x:v>
      </x:c>
      <x:c r="B109" s="16" t="s">
        <x:v>599</x:v>
      </x:c>
      <x:c r="C109" s="17" t="s">
        <x:v>600</x:v>
      </x:c>
      <x:c r="D109" s="18" t="s">
        <x:v>601</x:v>
      </x:c>
      <x:c r="E109" s="16" t="s">
        <x:v>602</x:v>
      </x:c>
      <x:c r="F109" s="16" t="s">
        <x:v>229</x:v>
      </x:c>
      <x:c r="G109" s="19">
        <x:v>3</x:v>
      </x:c>
      <x:c r="H109" s="20">
        <x:v>160</x:v>
      </x:c>
      <x:c r="I109" s="21">
        <x:v>480</x:v>
      </x:c>
    </x:row>
    <x:row r="110" ht="12" customHeight="1">
      <x:c r="A110" s="15">
        <x:v>109</x:v>
      </x:c>
      <x:c r="B110" s="16" t="s">
        <x:v>603</x:v>
      </x:c>
      <x:c r="C110" s="17" t="s">
        <x:v>604</x:v>
      </x:c>
      <x:c r="D110" s="18" t="s">
        <x:v>605</x:v>
      </x:c>
      <x:c r="E110" s="16" t="s">
        <x:v>602</x:v>
      </x:c>
      <x:c r="F110" s="16" t="s">
        <x:v>229</x:v>
      </x:c>
      <x:c r="G110" s="19">
        <x:v>6</x:v>
      </x:c>
      <x:c r="H110" s="20">
        <x:v>165</x:v>
      </x:c>
      <x:c r="I110" s="21">
        <x:v>990</x:v>
      </x:c>
    </x:row>
    <x:row r="111" ht="12" customHeight="1">
      <x:c r="A111" s="15">
        <x:v>110</x:v>
      </x:c>
      <x:c r="B111" s="16" t="s">
        <x:v>606</x:v>
      </x:c>
      <x:c r="C111" s="17" t="s">
        <x:v>607</x:v>
      </x:c>
      <x:c r="D111" s="18" t="s">
        <x:v>608</x:v>
      </x:c>
      <x:c r="E111" s="16" t="s">
        <x:v>602</x:v>
      </x:c>
      <x:c r="F111" s="16" t="s">
        <x:v>229</x:v>
      </x:c>
      <x:c r="G111" s="19">
        <x:v>9</x:v>
      </x:c>
      <x:c r="H111" s="20">
        <x:v>119</x:v>
      </x:c>
      <x:c r="I111" s="21">
        <x:v>1071</x:v>
      </x:c>
    </x:row>
    <x:row r="112" ht="12" customHeight="1">
      <x:c r="A112" s="15">
        <x:v>111</x:v>
      </x:c>
      <x:c r="B112" s="16" t="s">
        <x:v>609</x:v>
      </x:c>
      <x:c r="C112" s="17" t="s">
        <x:v>610</x:v>
      </x:c>
      <x:c r="D112" s="18" t="s">
        <x:v>611</x:v>
      </x:c>
      <x:c r="E112" s="16" t="s">
        <x:v>602</x:v>
      </x:c>
      <x:c r="F112" s="16" t="s">
        <x:v>229</x:v>
      </x:c>
      <x:c r="G112" s="19">
        <x:v>12</x:v>
      </x:c>
      <x:c r="H112" s="20">
        <x:v>205</x:v>
      </x:c>
      <x:c r="I112" s="21">
        <x:v>2460</x:v>
      </x:c>
    </x:row>
    <x:row r="113" ht="12" customHeight="1">
      <x:c r="A113" s="15">
        <x:v>112</x:v>
      </x:c>
      <x:c r="B113" s="16" t="s">
        <x:v>612</x:v>
      </x:c>
      <x:c r="C113" s="17" t="s">
        <x:v>613</x:v>
      </x:c>
      <x:c r="D113" s="18" t="s">
        <x:v>614</x:v>
      </x:c>
      <x:c r="E113" s="16" t="s">
        <x:v>602</x:v>
      </x:c>
      <x:c r="F113" s="16" t="s">
        <x:v>229</x:v>
      </x:c>
      <x:c r="G113" s="19">
        <x:v>12</x:v>
      </x:c>
      <x:c r="H113" s="20">
        <x:v>403</x:v>
      </x:c>
      <x:c r="I113" s="21">
        <x:v>4836</x:v>
      </x:c>
    </x:row>
    <x:row r="114" ht="12" customHeight="1">
      <x:c r="A114" s="15">
        <x:v>113</x:v>
      </x:c>
      <x:c r="B114" s="16" t="s">
        <x:v>615</x:v>
      </x:c>
      <x:c r="C114" s="17" t="s">
        <x:v>616</x:v>
      </x:c>
      <x:c r="D114" s="18" t="s">
        <x:v>617</x:v>
      </x:c>
      <x:c r="E114" s="16" t="s">
        <x:v>602</x:v>
      </x:c>
      <x:c r="F114" s="16" t="s">
        <x:v>229</x:v>
      </x:c>
      <x:c r="G114" s="19">
        <x:v>6</x:v>
      </x:c>
      <x:c r="H114" s="20">
        <x:v>390</x:v>
      </x:c>
      <x:c r="I114" s="21">
        <x:v>2340</x:v>
      </x:c>
    </x:row>
    <x:row r="115" ht="12" customHeight="1">
      <x:c r="A115" s="15">
        <x:v>114</x:v>
      </x:c>
      <x:c r="B115" s="16" t="s">
        <x:v>618</x:v>
      </x:c>
      <x:c r="C115" s="17" t="s">
        <x:v>619</x:v>
      </x:c>
      <x:c r="D115" s="18" t="s">
        <x:v>620</x:v>
      </x:c>
      <x:c r="E115" s="16" t="s">
        <x:v>602</x:v>
      </x:c>
      <x:c r="F115" s="16" t="s">
        <x:v>229</x:v>
      </x:c>
      <x:c r="G115" s="19">
        <x:v>1</x:v>
      </x:c>
      <x:c r="H115" s="20">
        <x:v>890</x:v>
      </x:c>
      <x:c r="I115" s="21">
        <x:v>890</x:v>
      </x:c>
    </x:row>
    <x:row r="116" ht="12" customHeight="1">
      <x:c r="A116" s="15">
        <x:v>115</x:v>
      </x:c>
      <x:c r="B116" s="16" t="s">
        <x:v>621</x:v>
      </x:c>
      <x:c r="C116" s="17" t="s">
        <x:v>622</x:v>
      </x:c>
      <x:c r="D116" s="18" t="s">
        <x:v>623</x:v>
      </x:c>
      <x:c r="E116" s="16" t="s">
        <x:v>602</x:v>
      </x:c>
      <x:c r="F116" s="16" t="s">
        <x:v>229</x:v>
      </x:c>
      <x:c r="G116" s="19">
        <x:v>1</x:v>
      </x:c>
      <x:c r="H116" s="20">
        <x:v>470</x:v>
      </x:c>
      <x:c r="I116" s="21">
        <x:v>470</x:v>
      </x:c>
    </x:row>
    <x:row r="117" ht="12" customHeight="1">
      <x:c r="A117" s="15">
        <x:v>116</x:v>
      </x:c>
      <x:c r="B117" s="16" t="s">
        <x:v>624</x:v>
      </x:c>
      <x:c r="C117" s="17" t="s">
        <x:v>625</x:v>
      </x:c>
      <x:c r="D117" s="18" t="s">
        <x:v>626</x:v>
      </x:c>
      <x:c r="E117" s="16" t="s">
        <x:v>602</x:v>
      </x:c>
      <x:c r="F117" s="16" t="s">
        <x:v>229</x:v>
      </x:c>
      <x:c r="G117" s="19">
        <x:v>1</x:v>
      </x:c>
      <x:c r="H117" s="20">
        <x:v>690</x:v>
      </x:c>
      <x:c r="I117" s="21">
        <x:v>690</x:v>
      </x:c>
    </x:row>
    <x:row r="118" ht="12" customHeight="1">
      <x:c r="A118" s="15">
        <x:v>117</x:v>
      </x:c>
      <x:c r="B118" s="16" t="s">
        <x:v>627</x:v>
      </x:c>
      <x:c r="C118" s="17" t="s">
        <x:v>628</x:v>
      </x:c>
      <x:c r="D118" s="18" t="s">
        <x:v>629</x:v>
      </x:c>
      <x:c r="E118" s="16" t="s">
        <x:v>602</x:v>
      </x:c>
      <x:c r="F118" s="16" t="s">
        <x:v>229</x:v>
      </x:c>
      <x:c r="G118" s="19">
        <x:v>2</x:v>
      </x:c>
      <x:c r="H118" s="20">
        <x:v>1140</x:v>
      </x:c>
      <x:c r="I118" s="21">
        <x:v>2280</x:v>
      </x:c>
    </x:row>
    <x:row r="119" ht="12" customHeight="1">
      <x:c r="A119" s="15">
        <x:v>118</x:v>
      </x:c>
      <x:c r="B119" s="16" t="s">
        <x:v>630</x:v>
      </x:c>
      <x:c r="C119" s="17" t="s">
        <x:v>631</x:v>
      </x:c>
      <x:c r="D119" s="18" t="s">
        <x:v>632</x:v>
      </x:c>
      <x:c r="E119" s="16" t="s">
        <x:v>602</x:v>
      </x:c>
      <x:c r="F119" s="16" t="s">
        <x:v>229</x:v>
      </x:c>
      <x:c r="G119" s="19">
        <x:v>9</x:v>
      </x:c>
      <x:c r="H119" s="20">
        <x:v>415</x:v>
      </x:c>
      <x:c r="I119" s="21">
        <x:v>3735</x:v>
      </x:c>
    </x:row>
    <x:row r="120" ht="12" customHeight="1">
      <x:c r="A120" s="15">
        <x:v>119</x:v>
      </x:c>
      <x:c r="B120" s="16" t="s">
        <x:v>633</x:v>
      </x:c>
      <x:c r="C120" s="17" t="s">
        <x:v>634</x:v>
      </x:c>
      <x:c r="D120" s="18" t="s">
        <x:v>635</x:v>
      </x:c>
      <x:c r="E120" s="16" t="s">
        <x:v>602</x:v>
      </x:c>
      <x:c r="F120" s="16" t="s">
        <x:v>229</x:v>
      </x:c>
      <x:c r="G120" s="19">
        <x:v>3</x:v>
      </x:c>
      <x:c r="H120" s="20">
        <x:v>945</x:v>
      </x:c>
      <x:c r="I120" s="21">
        <x:v>2835</x:v>
      </x:c>
    </x:row>
    <x:row r="121" ht="12" customHeight="1">
      <x:c r="A121" s="15">
        <x:v>120</x:v>
      </x:c>
      <x:c r="B121" s="16" t="s">
        <x:v>636</x:v>
      </x:c>
      <x:c r="C121" s="17" t="s">
        <x:v>637</x:v>
      </x:c>
      <x:c r="D121" s="18" t="s">
        <x:v>638</x:v>
      </x:c>
      <x:c r="E121" s="16" t="s">
        <x:v>602</x:v>
      </x:c>
      <x:c r="F121" s="16" t="s">
        <x:v>229</x:v>
      </x:c>
      <x:c r="G121" s="19">
        <x:v>1</x:v>
      </x:c>
      <x:c r="H121" s="20">
        <x:v>710</x:v>
      </x:c>
      <x:c r="I121" s="21">
        <x:v>710</x:v>
      </x:c>
    </x:row>
    <x:row r="122" ht="12" customHeight="1">
      <x:c r="A122" s="15">
        <x:v>121</x:v>
      </x:c>
      <x:c r="B122" s="16" t="s">
        <x:v>639</x:v>
      </x:c>
      <x:c r="C122" s="17" t="s">
        <x:v>640</x:v>
      </x:c>
      <x:c r="D122" s="18" t="s">
        <x:v>641</x:v>
      </x:c>
      <x:c r="E122" s="16" t="s">
        <x:v>602</x:v>
      </x:c>
      <x:c r="F122" s="16" t="s">
        <x:v>229</x:v>
      </x:c>
      <x:c r="G122" s="19">
        <x:v>1</x:v>
      </x:c>
      <x:c r="H122" s="20">
        <x:v>650</x:v>
      </x:c>
      <x:c r="I122" s="21">
        <x:v>650</x:v>
      </x:c>
    </x:row>
    <x:row r="123" ht="12" customHeight="1">
      <x:c r="A123" s="15">
        <x:v>122</x:v>
      </x:c>
      <x:c r="B123" s="16" t="s">
        <x:v>642</x:v>
      </x:c>
      <x:c r="C123" s="17" t="s">
        <x:v>643</x:v>
      </x:c>
      <x:c r="D123" s="18" t="s">
        <x:v>644</x:v>
      </x:c>
      <x:c r="E123" s="16" t="s">
        <x:v>598</x:v>
      </x:c>
      <x:c r="F123" s="16" t="s">
        <x:v>229</x:v>
      </x:c>
      <x:c r="G123" s="19">
        <x:v>8</x:v>
      </x:c>
      <x:c r="H123" s="20">
        <x:v>73</x:v>
      </x:c>
      <x:c r="I123" s="21">
        <x:v>584</x:v>
      </x:c>
    </x:row>
    <x:row r="124" ht="12" customHeight="1">
      <x:c r="A124" s="15">
        <x:v>123</x:v>
      </x:c>
      <x:c r="B124" s="16" t="s">
        <x:v>645</x:v>
      </x:c>
      <x:c r="C124" s="17" t="s">
        <x:v>646</x:v>
      </x:c>
      <x:c r="D124" s="18" t="s">
        <x:v>647</x:v>
      </x:c>
      <x:c r="E124" s="16" t="s">
        <x:v>648</x:v>
      </x:c>
      <x:c r="F124" s="16" t="s">
        <x:v>229</x:v>
      </x:c>
      <x:c r="G124" s="19">
        <x:v>2</x:v>
      </x:c>
      <x:c r="H124" s="20">
        <x:v>3850</x:v>
      </x:c>
      <x:c r="I124" s="21">
        <x:v>7700</x:v>
      </x:c>
    </x:row>
    <x:row r="125" ht="12" customHeight="1">
      <x:c r="A125" s="15">
        <x:v>124</x:v>
      </x:c>
      <x:c r="B125" s="16" t="s">
        <x:v>649</x:v>
      </x:c>
      <x:c r="C125" s="17" t="s">
        <x:v>650</x:v>
      </x:c>
      <x:c r="D125" s="18" t="s">
        <x:v>651</x:v>
      </x:c>
      <x:c r="E125" s="16" t="s">
        <x:v>277</x:v>
      </x:c>
      <x:c r="F125" s="16" t="s">
        <x:v>229</x:v>
      </x:c>
      <x:c r="G125" s="19">
        <x:v>2</x:v>
      </x:c>
      <x:c r="H125" s="20">
        <x:v>490</x:v>
      </x:c>
      <x:c r="I125" s="21">
        <x:v>980</x:v>
      </x:c>
    </x:row>
    <x:row r="126" ht="12" customHeight="1">
      <x:c r="A126" s="15">
        <x:v>125</x:v>
      </x:c>
      <x:c r="B126" s="16" t="s">
        <x:v>652</x:v>
      </x:c>
      <x:c r="C126" s="17" t="s">
        <x:v>653</x:v>
      </x:c>
      <x:c r="D126" s="18" t="s">
        <x:v>654</x:v>
      </x:c>
      <x:c r="E126" s="16" t="s">
        <x:v>655</x:v>
      </x:c>
      <x:c r="F126" s="16" t="s">
        <x:v>229</x:v>
      </x:c>
      <x:c r="G126" s="19">
        <x:v>1</x:v>
      </x:c>
      <x:c r="H126" s="20">
        <x:v>780</x:v>
      </x:c>
      <x:c r="I126" s="21">
        <x:v>780</x:v>
      </x:c>
    </x:row>
    <x:row r="127" ht="19.5" customHeight="1">
      <x:c r="A127" s="15">
        <x:v>126</x:v>
      </x:c>
      <x:c r="B127" s="16" t="s">
        <x:v>656</x:v>
      </x:c>
      <x:c r="C127" s="17" t="s">
        <x:v>657</x:v>
      </x:c>
      <x:c r="D127" s="18" t="s">
        <x:v>658</x:v>
      </x:c>
      <x:c r="E127" s="16" t="s">
        <x:v>659</x:v>
      </x:c>
      <x:c r="F127" s="16" t="s">
        <x:v>229</x:v>
      </x:c>
      <x:c r="G127" s="19">
        <x:v>1</x:v>
      </x:c>
      <x:c r="H127" s="20">
        <x:v>2290</x:v>
      </x:c>
      <x:c r="I127" s="21">
        <x:v>2290</x:v>
      </x:c>
    </x:row>
    <x:row r="128" ht="12" customHeight="1">
      <x:c r="A128" s="15">
        <x:v>127</x:v>
      </x:c>
      <x:c r="B128" s="16" t="s">
        <x:v>660</x:v>
      </x:c>
      <x:c r="C128" s="17" t="s">
        <x:v>661</x:v>
      </x:c>
      <x:c r="D128" s="18" t="s">
        <x:v>662</x:v>
      </x:c>
      <x:c r="E128" s="16" t="s">
        <x:v>273</x:v>
      </x:c>
      <x:c r="F128" s="16" t="s">
        <x:v>229</x:v>
      </x:c>
      <x:c r="G128" s="19">
        <x:v>4</x:v>
      </x:c>
      <x:c r="H128" s="20">
        <x:v>660</x:v>
      </x:c>
      <x:c r="I128" s="21">
        <x:v>2640</x:v>
      </x:c>
    </x:row>
    <x:row r="129" ht="12" customHeight="1">
      <x:c r="A129" s="15">
        <x:v>128</x:v>
      </x:c>
      <x:c r="B129" s="16" t="s">
        <x:v>663</x:v>
      </x:c>
      <x:c r="C129" s="17" t="s">
        <x:v>664</x:v>
      </x:c>
      <x:c r="D129" s="18" t="s">
        <x:v>665</x:v>
      </x:c>
      <x:c r="E129" s="16" t="s">
        <x:v>666</x:v>
      </x:c>
      <x:c r="F129" s="16" t="s">
        <x:v>229</x:v>
      </x:c>
      <x:c r="G129" s="19">
        <x:v>4</x:v>
      </x:c>
      <x:c r="H129" s="20">
        <x:v>149</x:v>
      </x:c>
      <x:c r="I129" s="21">
        <x:v>596</x:v>
      </x:c>
    </x:row>
    <x:row r="130" ht="12" customHeight="1">
      <x:c r="A130" s="15">
        <x:v>129</x:v>
      </x:c>
      <x:c r="B130" s="16" t="s">
        <x:v>667</x:v>
      </x:c>
      <x:c r="C130" s="17" t="s">
        <x:v>668</x:v>
      </x:c>
      <x:c r="D130" s="18" t="s">
        <x:v>669</x:v>
      </x:c>
      <x:c r="E130" s="16" t="s">
        <x:v>250</x:v>
      </x:c>
      <x:c r="F130" s="16" t="s">
        <x:v>229</x:v>
      </x:c>
      <x:c r="G130" s="19">
        <x:v>1</x:v>
      </x:c>
      <x:c r="H130" s="20">
        <x:v>48</x:v>
      </x:c>
      <x:c r="I130" s="21">
        <x:v>48</x:v>
      </x:c>
    </x:row>
    <x:row r="131" ht="12" customHeight="1">
      <x:c r="A131" s="15">
        <x:v>130</x:v>
      </x:c>
      <x:c r="B131" s="16" t="s">
        <x:v>670</x:v>
      </x:c>
      <x:c r="C131" s="17" t="s">
        <x:v>671</x:v>
      </x:c>
      <x:c r="D131" s="18" t="s">
        <x:v>672</x:v>
      </x:c>
      <x:c r="E131" s="16" t="s">
        <x:v>273</x:v>
      </x:c>
      <x:c r="F131" s="16" t="s">
        <x:v>229</x:v>
      </x:c>
      <x:c r="G131" s="19">
        <x:v>3</x:v>
      </x:c>
      <x:c r="H131" s="20">
        <x:v>650</x:v>
      </x:c>
      <x:c r="I131" s="21">
        <x:v>1950</x:v>
      </x:c>
    </x:row>
    <x:row r="132" ht="12" customHeight="1">
      <x:c r="A132" s="15">
        <x:v>131</x:v>
      </x:c>
      <x:c r="B132" s="16" t="s">
        <x:v>673</x:v>
      </x:c>
      <x:c r="C132" s="17" t="s">
        <x:v>674</x:v>
      </x:c>
      <x:c r="D132" s="18" t="s">
        <x:v>675</x:v>
      </x:c>
      <x:c r="E132" s="16" t="s">
        <x:v>261</x:v>
      </x:c>
      <x:c r="F132" s="16" t="s">
        <x:v>229</x:v>
      </x:c>
      <x:c r="G132" s="19">
        <x:v>4</x:v>
      </x:c>
      <x:c r="H132" s="20">
        <x:v>990</x:v>
      </x:c>
      <x:c r="I132" s="21">
        <x:v>3960</x:v>
      </x:c>
    </x:row>
    <x:row r="133" ht="12" customHeight="1">
      <x:c r="A133" s="15">
        <x:v>132</x:v>
      </x:c>
      <x:c r="B133" s="16" t="s">
        <x:v>676</x:v>
      </x:c>
      <x:c r="C133" s="17" t="s">
        <x:v>677</x:v>
      </x:c>
      <x:c r="D133" s="18"/>
      <x:c r="E133" s="16" t="s">
        <x:v>550</x:v>
      </x:c>
      <x:c r="F133" s="16" t="s">
        <x:v>229</x:v>
      </x:c>
      <x:c r="G133" s="19">
        <x:v>6</x:v>
      </x:c>
      <x:c r="H133" s="20">
        <x:v>30</x:v>
      </x:c>
      <x:c r="I133" s="21">
        <x:v>180</x:v>
      </x:c>
    </x:row>
    <x:row r="134" ht="12" customHeight="1">
      <x:c r="A134" s="15">
        <x:v>133</x:v>
      </x:c>
      <x:c r="B134" s="16" t="s">
        <x:v>678</x:v>
      </x:c>
      <x:c r="C134" s="17" t="s">
        <x:v>679</x:v>
      </x:c>
      <x:c r="D134" s="18" t="s">
        <x:v>680</x:v>
      </x:c>
      <x:c r="E134" s="16" t="s">
        <x:v>655</x:v>
      </x:c>
      <x:c r="F134" s="16" t="s">
        <x:v>229</x:v>
      </x:c>
      <x:c r="G134" s="19">
        <x:v>1</x:v>
      </x:c>
      <x:c r="H134" s="20">
        <x:v>4590</x:v>
      </x:c>
      <x:c r="I134" s="21">
        <x:v>4590</x:v>
      </x:c>
    </x:row>
    <x:row r="135" ht="12" customHeight="1">
      <x:c r="A135" s="15">
        <x:v>134</x:v>
      </x:c>
      <x:c r="B135" s="16" t="s">
        <x:v>681</x:v>
      </x:c>
      <x:c r="C135" s="17" t="s">
        <x:v>682</x:v>
      </x:c>
      <x:c r="D135" s="18" t="s">
        <x:v>683</x:v>
      </x:c>
      <x:c r="E135" s="16" t="s">
        <x:v>277</x:v>
      </x:c>
      <x:c r="F135" s="16" t="s">
        <x:v>527</x:v>
      </x:c>
      <x:c r="G135" s="19">
        <x:v>1</x:v>
      </x:c>
      <x:c r="H135" s="20">
        <x:v>1420</x:v>
      </x:c>
      <x:c r="I135" s="21">
        <x:v>1420</x:v>
      </x:c>
    </x:row>
    <x:row r="136" ht="12" customHeight="1">
      <x:c r="A136" s="15">
        <x:v>135</x:v>
      </x:c>
      <x:c r="B136" s="16" t="s">
        <x:v>684</x:v>
      </x:c>
      <x:c r="C136" s="17" t="s">
        <x:v>685</x:v>
      </x:c>
      <x:c r="D136" s="18" t="s">
        <x:v>686</x:v>
      </x:c>
      <x:c r="E136" s="16" t="s">
        <x:v>250</x:v>
      </x:c>
      <x:c r="F136" s="16" t="s">
        <x:v>229</x:v>
      </x:c>
      <x:c r="G136" s="19">
        <x:v>1</x:v>
      </x:c>
      <x:c r="H136" s="20">
        <x:v>105</x:v>
      </x:c>
      <x:c r="I136" s="21">
        <x:v>105</x:v>
      </x:c>
    </x:row>
    <x:row r="137" ht="12" customHeight="1">
      <x:c r="A137" s="15">
        <x:v>136</x:v>
      </x:c>
      <x:c r="B137" s="16" t="s">
        <x:v>687</x:v>
      </x:c>
      <x:c r="C137" s="17" t="s">
        <x:v>688</x:v>
      </x:c>
      <x:c r="D137" s="18" t="s">
        <x:v>689</x:v>
      </x:c>
      <x:c r="E137" s="16" t="s">
        <x:v>277</x:v>
      </x:c>
      <x:c r="F137" s="16" t="s">
        <x:v>229</x:v>
      </x:c>
      <x:c r="G137" s="19">
        <x:v>1</x:v>
      </x:c>
      <x:c r="H137" s="20">
        <x:v>1920</x:v>
      </x:c>
      <x:c r="I137" s="21">
        <x:v>1920</x:v>
      </x:c>
    </x:row>
    <x:row r="138" ht="12" customHeight="1">
      <x:c r="A138" s="22">
        <x:v>137</x:v>
      </x:c>
      <x:c r="B138" s="23" t="s">
        <x:v>690</x:v>
      </x:c>
      <x:c r="C138" s="24" t="s">
        <x:v>691</x:v>
      </x:c>
      <x:c r="D138" s="25" t="s">
        <x:v>692</x:v>
      </x:c>
      <x:c r="E138" s="23" t="s">
        <x:v>250</x:v>
      </x:c>
      <x:c r="F138" s="23" t="s">
        <x:v>229</x:v>
      </x:c>
      <x:c r="G138" s="26">
        <x:v>1</x:v>
      </x:c>
      <x:c r="H138" s="27">
        <x:v>90</x:v>
      </x:c>
      <x:c r="I138" s="28">
        <x:v>90</x:v>
      </x:c>
    </x:row>
    <x:row r="146" ht="27.600000381469727">
      <x:c r="A146" s="35" t="s">
        <x:v>693</x:v>
      </x:c>
      <x:c r="B146" s="35" t="s">
        <x:v>694</x:v>
      </x:c>
      <x:c r="C146" s="35" t="s">
        <x:v>695</x:v>
      </x:c>
      <x:c r="D146" s="35" t="s">
        <x:v>696</x:v>
      </x:c>
      <x:c r="E146" s="35" t="s">
        <x:v>697</x:v>
      </x:c>
      <x:c r="F146" s="35" t="s">
        <x:v>698</x:v>
      </x:c>
      <x:c r="G146" s="35" t="s">
        <x:v>699</x:v>
      </x:c>
      <x:c r="H146" s="35" t="s">
        <x:v>700</x:v>
      </x:c>
      <x:c r="I146" s="35" t="s">
        <x:v>701</x:v>
      </x:c>
    </x:row>
    <x:row r="147" ht="66">
      <x:c r="A147" s="36" t="s">
        <x:v>702</x:v>
      </x:c>
      <x:c r="B147" s="36"/>
      <x:c r="C147" s="36" t="s">
        <x:v>703</x:v>
      </x:c>
      <x:c r="D147" s="36"/>
      <x:c r="E147" s="36">
        <x:v>1</x:v>
      </x:c>
      <x:c r="F147" s="36"/>
      <x:c r="G147" s="36"/>
      <x:c r="H147" s="36"/>
      <x:c r="I147" s="36"/>
    </x:row>
    <x:row r="148" ht="66">
      <x:c r="A148" s="36" t="s">
        <x:v>702</x:v>
      </x:c>
      <x:c r="B148" s="36"/>
      <x:c r="C148" s="36" t="s">
        <x:v>704</x:v>
      </x:c>
      <x:c r="D148" s="36"/>
      <x:c r="E148" s="36">
        <x:v>1</x:v>
      </x:c>
      <x:c r="F148" s="36"/>
      <x:c r="G148" s="36"/>
      <x:c r="H148" s="36" t="s">
        <x:v>9</x:v>
      </x:c>
      <x:c r="I148" s="36"/>
    </x:row>
    <x:row r="149" ht="66">
      <x:c r="A149" s="36" t="s">
        <x:v>702</x:v>
      </x:c>
      <x:c r="B149" s="36"/>
      <x:c r="C149" s="36" t="s">
        <x:v>705</x:v>
      </x:c>
      <x:c r="D149" s="36"/>
      <x:c r="E149" s="36" t="s">
        <x:v>706</x:v>
      </x:c>
      <x:c r="F149" s="36"/>
      <x:c r="G149" s="36"/>
      <x:c r="H149" s="36" t="s">
        <x:v>9</x:v>
      </x:c>
      <x:c r="I149" s="36"/>
    </x:row>
    <x:row r="150" ht="66">
      <x:c r="A150" s="36" t="s">
        <x:v>702</x:v>
      </x:c>
      <x:c r="B150" s="36"/>
      <x:c r="C150" s="36" t="s">
        <x:v>707</x:v>
      </x:c>
      <x:c r="D150" s="36"/>
      <x:c r="E150" s="36" t="s">
        <x:v>706</x:v>
      </x:c>
      <x:c r="F150" s="36"/>
      <x:c r="G150" s="36"/>
      <x:c r="H150" s="36"/>
      <x:c r="I150" s="36"/>
    </x:row>
    <x:row r="151" ht="66">
      <x:c r="A151" s="36" t="s">
        <x:v>702</x:v>
      </x:c>
      <x:c r="B151" s="36"/>
      <x:c r="C151" s="36" t="s">
        <x:v>708</x:v>
      </x:c>
      <x:c r="D151" s="36" t="s">
        <x:v>709</x:v>
      </x:c>
      <x:c r="E151" s="36" t="s">
        <x:v>706</x:v>
      </x:c>
      <x:c r="F151" s="36"/>
      <x:c r="G151" s="36"/>
      <x:c r="H151" s="36"/>
      <x:c r="I151" s="36"/>
    </x:row>
    <x:row r="152" ht="66">
      <x:c r="A152" s="36" t="s">
        <x:v>702</x:v>
      </x:c>
      <x:c r="B152" s="36"/>
      <x:c r="C152" s="36" t="s">
        <x:v>710</x:v>
      </x:c>
      <x:c r="D152" s="36"/>
      <x:c r="E152" s="36" t="s">
        <x:v>711</x:v>
      </x:c>
      <x:c r="F152" s="36"/>
      <x:c r="G152" s="36"/>
      <x:c r="H152" s="36"/>
      <x:c r="I152" s="36"/>
    </x:row>
    <x:row r="153" ht="66">
      <x:c r="A153" s="36" t="s">
        <x:v>702</x:v>
      </x:c>
      <x:c r="B153" s="36"/>
      <x:c r="C153" s="36" t="s">
        <x:v>712</x:v>
      </x:c>
      <x:c r="D153" s="36"/>
      <x:c r="E153" s="36" t="s">
        <x:v>706</x:v>
      </x:c>
      <x:c r="F153" s="36"/>
      <x:c r="G153" s="36"/>
      <x:c r="H153" s="36" t="s">
        <x:v>16</x:v>
      </x:c>
      <x:c r="I153" s="36"/>
    </x:row>
    <x:row r="154" ht="66">
      <x:c r="A154" s="36" t="s">
        <x:v>702</x:v>
      </x:c>
      <x:c r="B154" s="36"/>
      <x:c r="C154" s="36" t="s">
        <x:v>713</x:v>
      </x:c>
      <x:c r="D154" s="36"/>
      <x:c r="E154" s="36" t="s">
        <x:v>706</x:v>
      </x:c>
      <x:c r="F154" s="36"/>
      <x:c r="G154" s="36"/>
      <x:c r="H154" s="36"/>
      <x:c r="I154" s="36"/>
    </x:row>
    <x:row r="155" ht="66">
      <x:c r="A155" s="36" t="s">
        <x:v>702</x:v>
      </x:c>
      <x:c r="B155" s="36"/>
      <x:c r="C155" s="36" t="s">
        <x:v>714</x:v>
      </x:c>
      <x:c r="D155" s="36"/>
      <x:c r="E155" s="36" t="s">
        <x:v>706</x:v>
      </x:c>
      <x:c r="F155" s="36"/>
      <x:c r="G155" s="36"/>
      <x:c r="H155" s="36"/>
      <x:c r="I155" s="36"/>
    </x:row>
    <x:row r="156" ht="66">
      <x:c r="A156" s="36" t="s">
        <x:v>702</x:v>
      </x:c>
      <x:c r="B156" s="36"/>
      <x:c r="C156" s="36" t="s">
        <x:v>715</x:v>
      </x:c>
      <x:c r="D156" s="36" t="s">
        <x:v>716</x:v>
      </x:c>
      <x:c r="E156" s="36" t="s">
        <x:v>706</x:v>
      </x:c>
      <x:c r="F156" s="36"/>
      <x:c r="G156" s="36"/>
      <x:c r="H156" s="36"/>
      <x:c r="I156" s="36"/>
    </x:row>
    <x:row r="157" ht="66">
      <x:c r="A157" s="36" t="s">
        <x:v>702</x:v>
      </x:c>
      <x:c r="B157" s="36"/>
      <x:c r="C157" s="36" t="s">
        <x:v>717</x:v>
      </x:c>
      <x:c r="D157" s="36"/>
      <x:c r="E157" s="36" t="s">
        <x:v>711</x:v>
      </x:c>
      <x:c r="F157" s="36"/>
      <x:c r="G157" s="36"/>
      <x:c r="H157" s="36"/>
      <x:c r="I157" s="36"/>
    </x:row>
    <x:row r="158" ht="66">
      <x:c r="A158" s="36" t="s">
        <x:v>702</x:v>
      </x:c>
      <x:c r="B158" s="36"/>
      <x:c r="C158" s="36" t="s">
        <x:v>718</x:v>
      </x:c>
      <x:c r="D158" s="36"/>
      <x:c r="E158" s="36" t="s">
        <x:v>711</x:v>
      </x:c>
      <x:c r="F158" s="36"/>
      <x:c r="G158" s="36"/>
      <x:c r="H158" s="36"/>
      <x:c r="I158" s="36"/>
    </x:row>
    <x:row r="159" ht="66">
      <x:c r="A159" s="36" t="s">
        <x:v>702</x:v>
      </x:c>
      <x:c r="B159" s="36"/>
      <x:c r="C159" s="36" t="s">
        <x:v>719</x:v>
      </x:c>
      <x:c r="D159" s="36"/>
      <x:c r="E159" s="36" t="s">
        <x:v>706</x:v>
      </x:c>
      <x:c r="F159" s="36"/>
      <x:c r="G159" s="36"/>
      <x:c r="H159" s="36"/>
      <x:c r="I159" s="36"/>
    </x:row>
    <x:row r="160" ht="66">
      <x:c r="A160" s="36" t="s">
        <x:v>702</x:v>
      </x:c>
      <x:c r="B160" s="36"/>
      <x:c r="C160" s="36" t="s">
        <x:v>720</x:v>
      </x:c>
      <x:c r="D160" s="36"/>
      <x:c r="E160" s="36" t="s">
        <x:v>706</x:v>
      </x:c>
      <x:c r="F160" s="36"/>
      <x:c r="G160" s="36"/>
      <x:c r="H160" s="36"/>
      <x:c r="I160" s="36"/>
    </x:row>
    <x:row r="161" ht="66">
      <x:c r="A161" s="36" t="s">
        <x:v>702</x:v>
      </x:c>
      <x:c r="B161" s="36"/>
      <x:c r="C161" s="36" t="s">
        <x:v>721</x:v>
      </x:c>
      <x:c r="D161" s="36"/>
      <x:c r="E161" s="36" t="s">
        <x:v>722</x:v>
      </x:c>
      <x:c r="F161" s="36"/>
      <x:c r="G161" s="36"/>
      <x:c r="H161" s="36"/>
      <x:c r="I161" s="36"/>
    </x:row>
    <x:row r="162" ht="66">
      <x:c r="A162" s="36" t="s">
        <x:v>702</x:v>
      </x:c>
      <x:c r="B162" s="36"/>
      <x:c r="C162" s="36" t="s">
        <x:v>162</x:v>
      </x:c>
      <x:c r="D162" s="36"/>
      <x:c r="E162" s="36" t="s">
        <x:v>711</x:v>
      </x:c>
      <x:c r="F162" s="36"/>
      <x:c r="G162" s="36"/>
      <x:c r="H162" s="36"/>
      <x:c r="I162" s="36"/>
    </x:row>
    <x:row r="163" ht="66">
      <x:c r="A163" s="36" t="s">
        <x:v>702</x:v>
      </x:c>
      <x:c r="B163" s="36"/>
      <x:c r="C163" s="36" t="s">
        <x:v>723</x:v>
      </x:c>
      <x:c r="D163" s="36" t="s">
        <x:v>724</x:v>
      </x:c>
      <x:c r="E163" s="36" t="s">
        <x:v>706</x:v>
      </x:c>
      <x:c r="F163" s="36"/>
      <x:c r="G163" s="36"/>
      <x:c r="H163" s="36"/>
      <x:c r="I163" s="36"/>
    </x:row>
    <x:row r="164" ht="66">
      <x:c r="A164" s="36" t="s">
        <x:v>702</x:v>
      </x:c>
      <x:c r="B164" s="36"/>
      <x:c r="C164" s="36" t="s">
        <x:v>725</x:v>
      </x:c>
      <x:c r="D164" s="36"/>
      <x:c r="E164" s="36" t="s">
        <x:v>706</x:v>
      </x:c>
      <x:c r="F164" s="36"/>
      <x:c r="G164" s="36"/>
      <x:c r="H164" s="36"/>
      <x:c r="I164" s="36"/>
    </x:row>
    <x:row r="165" ht="66">
      <x:c r="A165" s="36" t="s">
        <x:v>702</x:v>
      </x:c>
      <x:c r="B165" s="36"/>
      <x:c r="C165" s="36" t="s">
        <x:v>726</x:v>
      </x:c>
      <x:c r="D165" s="36"/>
      <x:c r="E165" s="36" t="s">
        <x:v>727</x:v>
      </x:c>
      <x:c r="F165" s="36"/>
      <x:c r="G165" s="36"/>
      <x:c r="H165" s="36"/>
      <x:c r="I165" s="36"/>
    </x:row>
    <x:row r="166" ht="66">
      <x:c r="A166" s="36" t="s">
        <x:v>702</x:v>
      </x:c>
      <x:c r="B166" s="36"/>
      <x:c r="C166" s="36" t="s">
        <x:v>728</x:v>
      </x:c>
      <x:c r="D166" s="36"/>
      <x:c r="E166" s="36" t="s">
        <x:v>729</x:v>
      </x:c>
      <x:c r="F166" s="36"/>
      <x:c r="G166" s="36"/>
      <x:c r="H166" s="36"/>
      <x:c r="I166" s="36"/>
    </x:row>
    <x:row r="167" ht="66">
      <x:c r="A167" s="36" t="s">
        <x:v>702</x:v>
      </x:c>
      <x:c r="B167" s="36"/>
      <x:c r="C167" s="36" t="s">
        <x:v>730</x:v>
      </x:c>
      <x:c r="D167" s="36"/>
      <x:c r="E167" s="36" t="s">
        <x:v>706</x:v>
      </x:c>
      <x:c r="F167" s="36"/>
      <x:c r="G167" s="36"/>
      <x:c r="H167" s="36"/>
      <x:c r="I167" s="36"/>
    </x:row>
    <x:row r="168" ht="66">
      <x:c r="A168" s="36" t="s">
        <x:v>702</x:v>
      </x:c>
      <x:c r="B168" s="36"/>
      <x:c r="C168" s="36" t="s">
        <x:v>731</x:v>
      </x:c>
      <x:c r="D168" s="36"/>
      <x:c r="E168" s="36" t="s">
        <x:v>706</x:v>
      </x:c>
      <x:c r="F168" s="36"/>
      <x:c r="G168" s="36"/>
      <x:c r="H168" s="36"/>
      <x:c r="I168" s="36"/>
    </x:row>
    <x:row r="169" ht="66">
      <x:c r="A169" s="36" t="s">
        <x:v>702</x:v>
      </x:c>
      <x:c r="B169" s="36"/>
      <x:c r="C169" s="36" t="s">
        <x:v>732</x:v>
      </x:c>
      <x:c r="D169" s="36" t="s">
        <x:v>733</x:v>
      </x:c>
      <x:c r="E169" s="36" t="s">
        <x:v>706</x:v>
      </x:c>
      <x:c r="F169" s="36"/>
      <x:c r="G169" s="36"/>
      <x:c r="H169" s="36" t="s">
        <x:v>16</x:v>
      </x:c>
      <x:c r="I169" s="36"/>
    </x:row>
    <x:row r="170" ht="66">
      <x:c r="A170" s="36" t="s">
        <x:v>702</x:v>
      </x:c>
      <x:c r="B170" s="36"/>
      <x:c r="C170" s="36" t="s">
        <x:v>734</x:v>
      </x:c>
      <x:c r="D170" s="36" t="s">
        <x:v>733</x:v>
      </x:c>
      <x:c r="E170" s="36" t="s">
        <x:v>706</x:v>
      </x:c>
      <x:c r="F170" s="36"/>
      <x:c r="G170" s="36"/>
      <x:c r="H170" s="36" t="s">
        <x:v>16</x:v>
      </x:c>
      <x:c r="I170" s="36"/>
    </x:row>
    <x:row r="171" ht="66">
      <x:c r="A171" s="36" t="s">
        <x:v>702</x:v>
      </x:c>
      <x:c r="B171" s="36"/>
      <x:c r="C171" s="36" t="s">
        <x:v>53</x:v>
      </x:c>
      <x:c r="D171" s="36"/>
      <x:c r="E171" s="36" t="s">
        <x:v>706</x:v>
      </x:c>
      <x:c r="F171" s="36"/>
      <x:c r="G171" s="36"/>
      <x:c r="H171" s="36"/>
      <x:c r="I171" s="36"/>
    </x:row>
    <x:row r="172" ht="66">
      <x:c r="A172" s="36" t="s">
        <x:v>702</x:v>
      </x:c>
      <x:c r="B172" s="36"/>
      <x:c r="C172" s="36" t="s">
        <x:v>735</x:v>
      </x:c>
      <x:c r="D172" s="36"/>
      <x:c r="E172" s="36" t="s">
        <x:v>706</x:v>
      </x:c>
      <x:c r="F172" s="36"/>
      <x:c r="G172" s="36"/>
      <x:c r="H172" s="36"/>
      <x:c r="I172" s="36"/>
    </x:row>
    <x:row r="173" ht="66">
      <x:c r="A173" s="36" t="s">
        <x:v>702</x:v>
      </x:c>
      <x:c r="B173" s="36"/>
      <x:c r="C173" s="36" t="s">
        <x:v>736</x:v>
      </x:c>
      <x:c r="D173" s="36"/>
      <x:c r="E173" s="36" t="s">
        <x:v>711</x:v>
      </x:c>
      <x:c r="F173" s="36"/>
      <x:c r="G173" s="36"/>
      <x:c r="H173" s="36"/>
      <x:c r="I173" s="36"/>
    </x:row>
    <x:row r="174" ht="66">
      <x:c r="A174" s="36" t="s">
        <x:v>702</x:v>
      </x:c>
      <x:c r="B174" s="36"/>
      <x:c r="C174" s="36" t="s">
        <x:v>737</x:v>
      </x:c>
      <x:c r="D174" s="36" t="s">
        <x:v>738</x:v>
      </x:c>
      <x:c r="E174" s="36" t="s">
        <x:v>739</x:v>
      </x:c>
      <x:c r="F174" s="36"/>
      <x:c r="G174" s="36"/>
      <x:c r="H174" s="36"/>
      <x:c r="I174" s="36"/>
    </x:row>
    <x:row r="175" ht="66">
      <x:c r="A175" s="36" t="s">
        <x:v>702</x:v>
      </x:c>
      <x:c r="B175" s="36"/>
      <x:c r="C175" s="36" t="s">
        <x:v>740</x:v>
      </x:c>
      <x:c r="D175" s="36"/>
      <x:c r="E175" s="36" t="s">
        <x:v>706</x:v>
      </x:c>
      <x:c r="F175" s="36"/>
      <x:c r="G175" s="36"/>
      <x:c r="H175" s="36"/>
      <x:c r="I175" s="36"/>
    </x:row>
    <x:row r="176" ht="66">
      <x:c r="A176" s="36" t="s">
        <x:v>702</x:v>
      </x:c>
      <x:c r="B176" s="36"/>
      <x:c r="C176" s="36" t="s">
        <x:v>56</x:v>
      </x:c>
      <x:c r="D176" s="36"/>
      <x:c r="E176" s="36" t="s">
        <x:v>711</x:v>
      </x:c>
      <x:c r="F176" s="36"/>
      <x:c r="G176" s="36"/>
      <x:c r="H176" s="36"/>
      <x:c r="I176" s="36"/>
    </x:row>
    <x:row r="177" ht="66">
      <x:c r="A177" s="36" t="s">
        <x:v>702</x:v>
      </x:c>
      <x:c r="B177" s="36"/>
      <x:c r="C177" s="36" t="s">
        <x:v>741</x:v>
      </x:c>
      <x:c r="D177" s="36"/>
      <x:c r="E177" s="36" t="s">
        <x:v>711</x:v>
      </x:c>
      <x:c r="F177" s="36"/>
      <x:c r="G177" s="36"/>
      <x:c r="H177" s="36"/>
      <x:c r="I177" s="36"/>
    </x:row>
    <x:row r="178" ht="66">
      <x:c r="A178" s="36" t="s">
        <x:v>702</x:v>
      </x:c>
      <x:c r="B178" s="36"/>
      <x:c r="C178" s="36" t="s">
        <x:v>58</x:v>
      </x:c>
      <x:c r="D178" s="36"/>
      <x:c r="E178" s="36" t="s">
        <x:v>711</x:v>
      </x:c>
      <x:c r="F178" s="36"/>
      <x:c r="G178" s="36"/>
      <x:c r="H178" s="36"/>
      <x:c r="I178" s="36"/>
    </x:row>
    <x:row r="179" ht="66">
      <x:c r="A179" s="36" t="s">
        <x:v>702</x:v>
      </x:c>
      <x:c r="B179" s="36"/>
      <x:c r="C179" s="36" t="s">
        <x:v>742</x:v>
      </x:c>
      <x:c r="D179" s="36"/>
      <x:c r="E179" s="36" t="s">
        <x:v>706</x:v>
      </x:c>
      <x:c r="F179" s="36"/>
      <x:c r="G179" s="36"/>
      <x:c r="H179" s="36"/>
      <x:c r="I179" s="36"/>
    </x:row>
    <x:row r="180" ht="66">
      <x:c r="A180" s="36" t="s">
        <x:v>702</x:v>
      </x:c>
      <x:c r="B180" s="36"/>
      <x:c r="C180" s="36" t="s">
        <x:v>743</x:v>
      </x:c>
      <x:c r="D180" s="36"/>
      <x:c r="E180" s="36" t="s">
        <x:v>706</x:v>
      </x:c>
      <x:c r="F180" s="36"/>
      <x:c r="G180" s="36"/>
      <x:c r="H180" s="36"/>
      <x:c r="I180" s="36"/>
    </x:row>
    <x:row r="181" ht="66">
      <x:c r="A181" s="36" t="s">
        <x:v>702</x:v>
      </x:c>
      <x:c r="B181" s="36"/>
      <x:c r="C181" s="36" t="s">
        <x:v>744</x:v>
      </x:c>
      <x:c r="D181" s="36"/>
      <x:c r="E181" s="36" t="s">
        <x:v>706</x:v>
      </x:c>
      <x:c r="F181" s="36"/>
      <x:c r="G181" s="36"/>
      <x:c r="H181" s="36"/>
      <x:c r="I181" s="36"/>
    </x:row>
    <x:row r="182" ht="66">
      <x:c r="A182" s="36" t="s">
        <x:v>702</x:v>
      </x:c>
      <x:c r="B182" s="36"/>
      <x:c r="C182" s="36" t="s">
        <x:v>745</x:v>
      </x:c>
      <x:c r="D182" s="36"/>
      <x:c r="E182" s="36" t="s">
        <x:v>729</x:v>
      </x:c>
      <x:c r="F182" s="36"/>
      <x:c r="G182" s="36"/>
      <x:c r="H182" s="36"/>
      <x:c r="I182" s="36"/>
    </x:row>
    <x:row r="183" ht="66">
      <x:c r="A183" s="36" t="s">
        <x:v>702</x:v>
      </x:c>
      <x:c r="B183" s="36"/>
      <x:c r="C183" s="36" t="s">
        <x:v>746</x:v>
      </x:c>
      <x:c r="D183" s="36"/>
      <x:c r="E183" s="36" t="s">
        <x:v>706</x:v>
      </x:c>
      <x:c r="F183" s="36"/>
      <x:c r="G183" s="36"/>
      <x:c r="H183" s="36"/>
      <x:c r="I183" s="36"/>
    </x:row>
    <x:row r="184" ht="66">
      <x:c r="A184" s="36" t="s">
        <x:v>702</x:v>
      </x:c>
      <x:c r="B184" s="36"/>
      <x:c r="C184" s="36" t="s">
        <x:v>747</x:v>
      </x:c>
      <x:c r="D184" s="36"/>
      <x:c r="E184" s="36" t="s">
        <x:v>706</x:v>
      </x:c>
      <x:c r="F184" s="36"/>
      <x:c r="G184" s="36"/>
      <x:c r="H184" s="36"/>
      <x:c r="I184" s="36"/>
    </x:row>
    <x:row r="185" ht="66">
      <x:c r="A185" s="36" t="s">
        <x:v>702</x:v>
      </x:c>
      <x:c r="B185" s="36"/>
      <x:c r="C185" s="36" t="s">
        <x:v>748</x:v>
      </x:c>
      <x:c r="D185" s="36"/>
      <x:c r="E185" s="36" t="s">
        <x:v>706</x:v>
      </x:c>
      <x:c r="F185" s="36"/>
      <x:c r="G185" s="36"/>
      <x:c r="H185" s="36"/>
      <x:c r="I185" s="36"/>
    </x:row>
    <x:row r="186" ht="66">
      <x:c r="A186" s="36" t="s">
        <x:v>702</x:v>
      </x:c>
      <x:c r="B186" s="36"/>
      <x:c r="C186" s="36" t="s">
        <x:v>749</x:v>
      </x:c>
      <x:c r="D186" s="36"/>
      <x:c r="E186" s="36" t="s">
        <x:v>706</x:v>
      </x:c>
      <x:c r="F186" s="36"/>
      <x:c r="G186" s="36"/>
      <x:c r="H186" s="36"/>
      <x:c r="I186" s="36"/>
    </x:row>
    <x:row r="187" ht="66">
      <x:c r="A187" s="36" t="s">
        <x:v>702</x:v>
      </x:c>
      <x:c r="B187" s="36"/>
      <x:c r="C187" s="36" t="s">
        <x:v>70</x:v>
      </x:c>
      <x:c r="D187" s="36"/>
      <x:c r="E187" s="36" t="s">
        <x:v>706</x:v>
      </x:c>
      <x:c r="F187" s="36"/>
      <x:c r="G187" s="36"/>
      <x:c r="H187" s="36"/>
      <x:c r="I187" s="36"/>
    </x:row>
    <x:row r="188" ht="66">
      <x:c r="A188" s="36" t="s">
        <x:v>702</x:v>
      </x:c>
      <x:c r="B188" s="36"/>
      <x:c r="C188" s="36" t="s">
        <x:v>750</x:v>
      </x:c>
      <x:c r="D188" s="36" t="s">
        <x:v>751</x:v>
      </x:c>
      <x:c r="E188" s="36" t="s">
        <x:v>706</x:v>
      </x:c>
      <x:c r="F188" s="36"/>
      <x:c r="G188" s="36"/>
      <x:c r="H188" s="36"/>
      <x:c r="I188" s="36"/>
    </x:row>
    <x:row r="189" ht="66">
      <x:c r="A189" s="36" t="s">
        <x:v>702</x:v>
      </x:c>
      <x:c r="B189" s="36"/>
      <x:c r="C189" s="36" t="s">
        <x:v>72</x:v>
      </x:c>
      <x:c r="D189" s="36"/>
      <x:c r="E189" s="36" t="s">
        <x:v>706</x:v>
      </x:c>
      <x:c r="F189" s="36"/>
      <x:c r="G189" s="36"/>
      <x:c r="H189" s="36"/>
      <x:c r="I189" s="36"/>
    </x:row>
    <x:row r="190" ht="66">
      <x:c r="A190" s="36" t="s">
        <x:v>702</x:v>
      </x:c>
      <x:c r="B190" s="36"/>
      <x:c r="C190" s="36" t="s">
        <x:v>73</x:v>
      </x:c>
      <x:c r="D190" s="36"/>
      <x:c r="E190" s="36" t="s">
        <x:v>729</x:v>
      </x:c>
      <x:c r="F190" s="36"/>
      <x:c r="G190" s="36"/>
      <x:c r="H190" s="36"/>
      <x:c r="I190" s="36"/>
    </x:row>
    <x:row r="191" ht="66">
      <x:c r="A191" s="36" t="s">
        <x:v>702</x:v>
      </x:c>
      <x:c r="B191" s="36"/>
      <x:c r="C191" s="36" t="s">
        <x:v>167</x:v>
      </x:c>
      <x:c r="D191" s="36"/>
      <x:c r="E191" s="36" t="s">
        <x:v>752</x:v>
      </x:c>
      <x:c r="F191" s="36"/>
      <x:c r="G191" s="36"/>
      <x:c r="H191" s="36"/>
      <x:c r="I191" s="36"/>
    </x:row>
    <x:row r="192" ht="66">
      <x:c r="A192" s="36" t="s">
        <x:v>702</x:v>
      </x:c>
      <x:c r="B192" s="36"/>
      <x:c r="C192" s="36" t="s">
        <x:v>753</x:v>
      </x:c>
      <x:c r="D192" s="36"/>
      <x:c r="E192" s="36" t="s">
        <x:v>706</x:v>
      </x:c>
      <x:c r="F192" s="36"/>
      <x:c r="G192" s="36"/>
      <x:c r="H192" s="36"/>
      <x:c r="I192" s="36"/>
    </x:row>
    <x:row r="193" ht="66">
      <x:c r="A193" s="36" t="s">
        <x:v>702</x:v>
      </x:c>
      <x:c r="B193" s="36"/>
      <x:c r="C193" s="36" t="s">
        <x:v>754</x:v>
      </x:c>
      <x:c r="D193" s="36"/>
      <x:c r="E193" s="36" t="s">
        <x:v>706</x:v>
      </x:c>
      <x:c r="F193" s="36"/>
      <x:c r="G193" s="36"/>
      <x:c r="H193" s="36"/>
      <x:c r="I193" s="36"/>
    </x:row>
    <x:row r="194" ht="66">
      <x:c r="A194" s="36" t="s">
        <x:v>702</x:v>
      </x:c>
      <x:c r="B194" s="36"/>
      <x:c r="C194" s="36" t="s">
        <x:v>755</x:v>
      </x:c>
      <x:c r="D194" s="36"/>
      <x:c r="E194" s="36" t="s">
        <x:v>711</x:v>
      </x:c>
      <x:c r="F194" s="36"/>
      <x:c r="G194" s="36"/>
      <x:c r="H194" s="36"/>
      <x:c r="I194" s="36"/>
    </x:row>
    <x:row r="195" ht="66">
      <x:c r="A195" s="36" t="s">
        <x:v>702</x:v>
      </x:c>
      <x:c r="B195" s="36"/>
      <x:c r="C195" s="36" t="s">
        <x:v>756</x:v>
      </x:c>
      <x:c r="D195" s="36"/>
      <x:c r="E195" s="36" t="s">
        <x:v>711</x:v>
      </x:c>
      <x:c r="F195" s="36"/>
      <x:c r="G195" s="36"/>
      <x:c r="H195" s="36"/>
      <x:c r="I195" s="36"/>
    </x:row>
    <x:row r="196" ht="66">
      <x:c r="A196" s="36" t="s">
        <x:v>702</x:v>
      </x:c>
      <x:c r="B196" s="36"/>
      <x:c r="C196" s="36" t="s">
        <x:v>757</x:v>
      </x:c>
      <x:c r="D196" s="36"/>
      <x:c r="E196" s="36" t="s">
        <x:v>706</x:v>
      </x:c>
      <x:c r="F196" s="36"/>
      <x:c r="G196" s="36"/>
      <x:c r="H196" s="36"/>
      <x:c r="I196" s="36"/>
    </x:row>
    <x:row r="197" ht="66">
      <x:c r="A197" s="36" t="s">
        <x:v>702</x:v>
      </x:c>
      <x:c r="B197" s="36"/>
      <x:c r="C197" s="36" t="s">
        <x:v>758</x:v>
      </x:c>
      <x:c r="D197" s="36"/>
      <x:c r="E197" s="36" t="s">
        <x:v>706</x:v>
      </x:c>
      <x:c r="F197" s="36"/>
      <x:c r="G197" s="36"/>
      <x:c r="H197" s="36"/>
      <x:c r="I197" s="36"/>
    </x:row>
    <x:row r="198" ht="66">
      <x:c r="A198" s="36" t="s">
        <x:v>702</x:v>
      </x:c>
      <x:c r="B198" s="36" t="s">
        <x:v>759</x:v>
      </x:c>
      <x:c r="C198" s="36" t="s">
        <x:v>760</x:v>
      </x:c>
      <x:c r="D198" s="36"/>
      <x:c r="E198" s="36" t="s">
        <x:v>706</x:v>
      </x:c>
      <x:c r="F198" s="36"/>
      <x:c r="G198" s="36"/>
      <x:c r="H198" s="36"/>
      <x:c r="I198" s="36"/>
    </x:row>
    <x:row r="199" ht="66">
      <x:c r="A199" s="36" t="s">
        <x:v>702</x:v>
      </x:c>
      <x:c r="B199" s="36" t="s">
        <x:v>759</x:v>
      </x:c>
      <x:c r="C199" s="36" t="s">
        <x:v>761</x:v>
      </x:c>
      <x:c r="D199" s="36"/>
      <x:c r="E199" s="36" t="s">
        <x:v>706</x:v>
      </x:c>
      <x:c r="F199" s="36"/>
      <x:c r="G199" s="36"/>
      <x:c r="H199" s="36"/>
      <x:c r="I199" s="36"/>
    </x:row>
    <x:row r="200" ht="66">
      <x:c r="A200" s="36" t="s">
        <x:v>702</x:v>
      </x:c>
      <x:c r="B200" s="36" t="s">
        <x:v>759</x:v>
      </x:c>
      <x:c r="C200" s="36" t="s">
        <x:v>762</x:v>
      </x:c>
      <x:c r="D200" s="36"/>
      <x:c r="E200" s="36" t="s">
        <x:v>706</x:v>
      </x:c>
      <x:c r="F200" s="36"/>
      <x:c r="G200" s="36"/>
      <x:c r="H200" s="36"/>
      <x:c r="I200" s="36"/>
    </x:row>
    <x:row r="201" ht="66">
      <x:c r="A201" s="36" t="s">
        <x:v>702</x:v>
      </x:c>
      <x:c r="B201" s="36" t="s">
        <x:v>759</x:v>
      </x:c>
      <x:c r="C201" s="36" t="s">
        <x:v>763</x:v>
      </x:c>
      <x:c r="D201" s="36"/>
      <x:c r="E201" s="36" t="s">
        <x:v>706</x:v>
      </x:c>
      <x:c r="F201" s="36"/>
      <x:c r="G201" s="36"/>
      <x:c r="H201" s="36"/>
      <x:c r="I201" s="36"/>
    </x:row>
    <x:row r="202" ht="66">
      <x:c r="A202" s="36" t="s">
        <x:v>702</x:v>
      </x:c>
      <x:c r="B202" s="36" t="s">
        <x:v>759</x:v>
      </x:c>
      <x:c r="C202" s="36" t="s">
        <x:v>764</x:v>
      </x:c>
      <x:c r="D202" s="36"/>
      <x:c r="E202" s="36" t="s">
        <x:v>706</x:v>
      </x:c>
      <x:c r="F202" s="36"/>
      <x:c r="G202" s="36"/>
      <x:c r="H202" s="36"/>
      <x:c r="I202" s="36"/>
    </x:row>
    <x:row r="203" ht="66">
      <x:c r="A203" s="36" t="s">
        <x:v>702</x:v>
      </x:c>
      <x:c r="B203" s="36" t="s">
        <x:v>759</x:v>
      </x:c>
      <x:c r="C203" s="36" t="s">
        <x:v>765</x:v>
      </x:c>
      <x:c r="D203" s="36"/>
      <x:c r="E203" s="36" t="s">
        <x:v>706</x:v>
      </x:c>
      <x:c r="F203" s="36"/>
      <x:c r="G203" s="36"/>
      <x:c r="H203" s="36"/>
      <x:c r="I203" s="36"/>
    </x:row>
    <x:row r="204" ht="66">
      <x:c r="A204" s="36" t="s">
        <x:v>702</x:v>
      </x:c>
      <x:c r="B204" s="36" t="s">
        <x:v>759</x:v>
      </x:c>
      <x:c r="C204" s="36" t="s">
        <x:v>766</x:v>
      </x:c>
      <x:c r="D204" s="36"/>
      <x:c r="E204" s="36" t="s">
        <x:v>706</x:v>
      </x:c>
      <x:c r="F204" s="36"/>
      <x:c r="G204" s="36"/>
      <x:c r="H204" s="36"/>
      <x:c r="I204" s="36"/>
    </x:row>
    <x:row r="205" ht="66">
      <x:c r="A205" s="36" t="s">
        <x:v>702</x:v>
      </x:c>
      <x:c r="B205" s="36" t="s">
        <x:v>759</x:v>
      </x:c>
      <x:c r="C205" s="36" t="s">
        <x:v>767</x:v>
      </x:c>
      <x:c r="D205" s="36"/>
      <x:c r="E205" s="36" t="s">
        <x:v>706</x:v>
      </x:c>
      <x:c r="F205" s="36"/>
      <x:c r="G205" s="36"/>
      <x:c r="H205" s="36"/>
      <x:c r="I205" s="36"/>
    </x:row>
    <x:row r="206" ht="66">
      <x:c r="A206" s="36" t="s">
        <x:v>702</x:v>
      </x:c>
      <x:c r="B206" s="36" t="s">
        <x:v>759</x:v>
      </x:c>
      <x:c r="C206" s="36" t="s">
        <x:v>768</x:v>
      </x:c>
      <x:c r="D206" s="36"/>
      <x:c r="E206" s="36" t="s">
        <x:v>706</x:v>
      </x:c>
      <x:c r="F206" s="36"/>
      <x:c r="G206" s="36"/>
      <x:c r="H206" s="36"/>
      <x:c r="I206" s="36"/>
    </x:row>
    <x:row r="207" ht="66">
      <x:c r="A207" s="36" t="s">
        <x:v>702</x:v>
      </x:c>
      <x:c r="B207" s="36" t="s">
        <x:v>759</x:v>
      </x:c>
      <x:c r="C207" s="36" t="s">
        <x:v>769</x:v>
      </x:c>
      <x:c r="D207" s="36"/>
      <x:c r="E207" s="36" t="s">
        <x:v>706</x:v>
      </x:c>
      <x:c r="F207" s="36"/>
      <x:c r="G207" s="36"/>
      <x:c r="H207" s="36"/>
      <x:c r="I207" s="36"/>
    </x:row>
    <x:row r="208" ht="66">
      <x:c r="A208" s="36" t="s">
        <x:v>702</x:v>
      </x:c>
      <x:c r="B208" s="36" t="s">
        <x:v>759</x:v>
      </x:c>
      <x:c r="C208" s="36" t="s">
        <x:v>770</x:v>
      </x:c>
      <x:c r="D208" s="36"/>
      <x:c r="E208" s="36" t="s">
        <x:v>706</x:v>
      </x:c>
      <x:c r="F208" s="36"/>
      <x:c r="G208" s="36"/>
      <x:c r="H208" s="36"/>
      <x:c r="I208" s="36"/>
    </x:row>
    <x:row r="209" ht="66">
      <x:c r="A209" s="36" t="s">
        <x:v>702</x:v>
      </x:c>
      <x:c r="B209" s="36" t="s">
        <x:v>759</x:v>
      </x:c>
      <x:c r="C209" s="36" t="s">
        <x:v>771</x:v>
      </x:c>
      <x:c r="D209" s="36"/>
      <x:c r="E209" s="36" t="s">
        <x:v>706</x:v>
      </x:c>
      <x:c r="F209" s="36"/>
      <x:c r="G209" s="36"/>
      <x:c r="H209" s="36"/>
      <x:c r="I209" s="36"/>
    </x:row>
    <x:row r="210" ht="66">
      <x:c r="A210" s="36" t="s">
        <x:v>702</x:v>
      </x:c>
      <x:c r="B210" s="36" t="s">
        <x:v>759</x:v>
      </x:c>
      <x:c r="C210" s="36" t="s">
        <x:v>772</x:v>
      </x:c>
      <x:c r="D210" s="36"/>
      <x:c r="E210" s="36" t="s">
        <x:v>706</x:v>
      </x:c>
      <x:c r="F210" s="36"/>
      <x:c r="G210" s="36"/>
      <x:c r="H210" s="36"/>
      <x:c r="I210" s="36"/>
    </x:row>
    <x:row r="211" ht="66">
      <x:c r="A211" s="36" t="s">
        <x:v>702</x:v>
      </x:c>
      <x:c r="B211" s="36" t="s">
        <x:v>759</x:v>
      </x:c>
      <x:c r="C211" s="36" t="s">
        <x:v>773</x:v>
      </x:c>
      <x:c r="D211" s="36"/>
      <x:c r="E211" s="36" t="s">
        <x:v>706</x:v>
      </x:c>
      <x:c r="F211" s="36"/>
      <x:c r="G211" s="36"/>
      <x:c r="H211" s="36"/>
      <x:c r="I211" s="36"/>
    </x:row>
    <x:row r="212" ht="66">
      <x:c r="A212" s="36" t="s">
        <x:v>702</x:v>
      </x:c>
      <x:c r="B212" s="36" t="s">
        <x:v>759</x:v>
      </x:c>
      <x:c r="C212" s="36" t="s">
        <x:v>774</x:v>
      </x:c>
      <x:c r="D212" s="36"/>
      <x:c r="E212" s="36" t="s">
        <x:v>706</x:v>
      </x:c>
      <x:c r="F212" s="36"/>
      <x:c r="G212" s="36"/>
      <x:c r="H212" s="36"/>
      <x:c r="I212" s="36"/>
    </x:row>
    <x:row r="213" ht="66">
      <x:c r="A213" s="36" t="s">
        <x:v>702</x:v>
      </x:c>
      <x:c r="B213" s="36" t="s">
        <x:v>759</x:v>
      </x:c>
      <x:c r="C213" s="36" t="s">
        <x:v>775</x:v>
      </x:c>
      <x:c r="D213" s="36"/>
      <x:c r="E213" s="36" t="s">
        <x:v>706</x:v>
      </x:c>
      <x:c r="F213" s="36"/>
      <x:c r="G213" s="36"/>
      <x:c r="H213" s="36"/>
      <x:c r="I213" s="36"/>
    </x:row>
    <x:row r="214" ht="66">
      <x:c r="A214" s="36" t="s">
        <x:v>702</x:v>
      </x:c>
      <x:c r="B214" s="36" t="s">
        <x:v>759</x:v>
      </x:c>
      <x:c r="C214" s="36" t="s">
        <x:v>776</x:v>
      </x:c>
      <x:c r="D214" s="36"/>
      <x:c r="E214" s="36" t="s">
        <x:v>706</x:v>
      </x:c>
      <x:c r="F214" s="36"/>
      <x:c r="G214" s="36"/>
      <x:c r="H214" s="36"/>
      <x:c r="I214" s="36"/>
    </x:row>
    <x:row r="215" ht="66">
      <x:c r="A215" s="36" t="s">
        <x:v>702</x:v>
      </x:c>
      <x:c r="B215" s="36" t="s">
        <x:v>759</x:v>
      </x:c>
      <x:c r="C215" s="36" t="s">
        <x:v>777</x:v>
      </x:c>
      <x:c r="D215" s="36"/>
      <x:c r="E215" s="36" t="s">
        <x:v>706</x:v>
      </x:c>
      <x:c r="F215" s="36"/>
      <x:c r="G215" s="36"/>
      <x:c r="H215" s="36"/>
      <x:c r="I215" s="36"/>
    </x:row>
    <x:row r="216" ht="66">
      <x:c r="A216" s="36" t="s">
        <x:v>702</x:v>
      </x:c>
      <x:c r="B216" s="36" t="s">
        <x:v>759</x:v>
      </x:c>
      <x:c r="C216" s="36" t="s">
        <x:v>778</x:v>
      </x:c>
      <x:c r="D216" s="36"/>
      <x:c r="E216" s="36" t="s">
        <x:v>706</x:v>
      </x:c>
      <x:c r="F216" s="36"/>
      <x:c r="G216" s="36"/>
      <x:c r="H216" s="36"/>
      <x:c r="I216" s="36"/>
    </x:row>
    <x:row r="217" ht="66">
      <x:c r="A217" s="36" t="s">
        <x:v>702</x:v>
      </x:c>
      <x:c r="B217" s="36" t="s">
        <x:v>759</x:v>
      </x:c>
      <x:c r="C217" s="36" t="s">
        <x:v>779</x:v>
      </x:c>
      <x:c r="D217" s="36"/>
      <x:c r="E217" s="36" t="s">
        <x:v>706</x:v>
      </x:c>
      <x:c r="F217" s="36"/>
      <x:c r="G217" s="36"/>
      <x:c r="H217" s="36"/>
      <x:c r="I217" s="36"/>
    </x:row>
    <x:row r="218" ht="66">
      <x:c r="A218" s="36" t="s">
        <x:v>702</x:v>
      </x:c>
      <x:c r="B218" s="36"/>
      <x:c r="C218" s="36" t="s">
        <x:v>780</x:v>
      </x:c>
      <x:c r="D218" s="36"/>
      <x:c r="E218" s="36" t="s">
        <x:v>781</x:v>
      </x:c>
      <x:c r="F218" s="36"/>
      <x:c r="G218" s="36"/>
      <x:c r="H218" s="36" t="s">
        <x:v>782</x:v>
      </x:c>
      <x:c r="I218" s="36"/>
    </x:row>
    <x:row r="219" ht="66">
      <x:c r="A219" s="36" t="s">
        <x:v>702</x:v>
      </x:c>
      <x:c r="B219" s="36"/>
      <x:c r="C219" s="36" t="s">
        <x:v>783</x:v>
      </x:c>
      <x:c r="D219" s="36"/>
      <x:c r="E219" s="36" t="s">
        <x:v>711</x:v>
      </x:c>
      <x:c r="F219" s="36"/>
      <x:c r="G219" s="36"/>
      <x:c r="H219" s="36"/>
      <x:c r="I219" s="36"/>
    </x:row>
    <x:row r="220" ht="66">
      <x:c r="A220" s="36" t="s">
        <x:v>702</x:v>
      </x:c>
      <x:c r="B220" s="36"/>
      <x:c r="C220" s="36" t="s">
        <x:v>92</x:v>
      </x:c>
      <x:c r="D220" s="36"/>
      <x:c r="E220" s="36" t="s">
        <x:v>706</x:v>
      </x:c>
      <x:c r="F220" s="36"/>
      <x:c r="G220" s="36"/>
      <x:c r="H220" s="36"/>
      <x:c r="I220" s="36"/>
    </x:row>
    <x:row r="221" ht="66">
      <x:c r="A221" s="36" t="s">
        <x:v>702</x:v>
      </x:c>
      <x:c r="B221" s="36"/>
      <x:c r="C221" s="36" t="s">
        <x:v>784</x:v>
      </x:c>
      <x:c r="D221" s="36"/>
      <x:c r="E221" s="36" t="s">
        <x:v>706</x:v>
      </x:c>
      <x:c r="F221" s="36"/>
      <x:c r="G221" s="36"/>
      <x:c r="H221" s="36"/>
      <x:c r="I221" s="36"/>
    </x:row>
    <x:row r="222" ht="66">
      <x:c r="A222" s="36" t="s">
        <x:v>702</x:v>
      </x:c>
      <x:c r="B222" s="36"/>
      <x:c r="C222" s="36" t="s">
        <x:v>785</x:v>
      </x:c>
      <x:c r="D222" s="36"/>
      <x:c r="E222" s="36" t="s">
        <x:v>706</x:v>
      </x:c>
      <x:c r="F222" s="36"/>
      <x:c r="G222" s="36"/>
      <x:c r="H222" s="36"/>
      <x:c r="I222" s="36"/>
    </x:row>
    <x:row r="223" ht="66">
      <x:c r="A223" s="36" t="s">
        <x:v>702</x:v>
      </x:c>
      <x:c r="B223" s="36"/>
      <x:c r="C223" s="36" t="s">
        <x:v>786</x:v>
      </x:c>
      <x:c r="D223" s="36"/>
      <x:c r="E223" s="36" t="s">
        <x:v>706</x:v>
      </x:c>
      <x:c r="F223" s="36"/>
      <x:c r="G223" s="36"/>
      <x:c r="H223" s="36"/>
      <x:c r="I223" s="36"/>
    </x:row>
    <x:row r="224" ht="66">
      <x:c r="A224" s="36" t="s">
        <x:v>702</x:v>
      </x:c>
      <x:c r="B224" s="36"/>
      <x:c r="C224" s="36" t="s">
        <x:v>787</x:v>
      </x:c>
      <x:c r="D224" s="36"/>
      <x:c r="E224" s="36" t="s">
        <x:v>706</x:v>
      </x:c>
      <x:c r="F224" s="36"/>
      <x:c r="G224" s="36"/>
      <x:c r="H224" s="36"/>
      <x:c r="I224" s="36"/>
    </x:row>
    <x:row r="225" ht="66">
      <x:c r="A225" s="36" t="s">
        <x:v>702</x:v>
      </x:c>
      <x:c r="B225" s="36"/>
      <x:c r="C225" s="36" t="s">
        <x:v>788</x:v>
      </x:c>
      <x:c r="D225" s="36"/>
      <x:c r="E225" s="36" t="s">
        <x:v>706</x:v>
      </x:c>
      <x:c r="F225" s="36"/>
      <x:c r="G225" s="36"/>
      <x:c r="H225" s="36"/>
      <x:c r="I225" s="36"/>
    </x:row>
    <x:row r="226" ht="66">
      <x:c r="A226" s="36" t="s">
        <x:v>702</x:v>
      </x:c>
      <x:c r="B226" s="36"/>
      <x:c r="C226" s="36" t="s">
        <x:v>789</x:v>
      </x:c>
      <x:c r="D226" s="36"/>
      <x:c r="E226" s="36" t="s">
        <x:v>790</x:v>
      </x:c>
      <x:c r="F226" s="36"/>
      <x:c r="G226" s="36"/>
      <x:c r="H226" s="36"/>
      <x:c r="I226" s="36"/>
    </x:row>
    <x:row r="227" ht="66">
      <x:c r="A227" s="36" t="s">
        <x:v>702</x:v>
      </x:c>
      <x:c r="B227" s="36"/>
      <x:c r="C227" s="36" t="s">
        <x:v>791</x:v>
      </x:c>
      <x:c r="D227" s="36"/>
      <x:c r="E227" s="36" t="s">
        <x:v>792</x:v>
      </x:c>
      <x:c r="F227" s="36"/>
      <x:c r="G227" s="36"/>
      <x:c r="H227" s="36"/>
      <x:c r="I227" s="36"/>
    </x:row>
    <x:row r="228" ht="66">
      <x:c r="A228" s="36" t="s">
        <x:v>702</x:v>
      </x:c>
      <x:c r="B228" s="36"/>
      <x:c r="C228" s="36" t="s">
        <x:v>793</x:v>
      </x:c>
      <x:c r="D228" s="36"/>
      <x:c r="E228" s="36" t="s">
        <x:v>711</x:v>
      </x:c>
      <x:c r="F228" s="36"/>
      <x:c r="G228" s="36"/>
      <x:c r="H228" s="36"/>
      <x:c r="I228" s="36"/>
    </x:row>
    <x:row r="229" ht="66">
      <x:c r="A229" s="36" t="s">
        <x:v>702</x:v>
      </x:c>
      <x:c r="B229" s="36"/>
      <x:c r="C229" s="36" t="s">
        <x:v>794</x:v>
      </x:c>
      <x:c r="D229" s="36"/>
      <x:c r="E229" s="36" t="s">
        <x:v>729</x:v>
      </x:c>
      <x:c r="F229" s="36"/>
      <x:c r="G229" s="36"/>
      <x:c r="H229" s="36"/>
      <x:c r="I229" s="36"/>
    </x:row>
    <x:row r="230" ht="66">
      <x:c r="A230" s="36" t="s">
        <x:v>702</x:v>
      </x:c>
      <x:c r="B230" s="36"/>
      <x:c r="C230" s="36" t="s">
        <x:v>795</x:v>
      </x:c>
      <x:c r="D230" s="36"/>
      <x:c r="E230" s="36" t="s">
        <x:v>711</x:v>
      </x:c>
      <x:c r="F230" s="36"/>
      <x:c r="G230" s="36"/>
      <x:c r="H230" s="36"/>
      <x:c r="I230" s="36"/>
    </x:row>
    <x:row r="231" ht="66">
      <x:c r="A231" s="36" t="s">
        <x:v>702</x:v>
      </x:c>
      <x:c r="B231" s="36"/>
      <x:c r="C231" s="36" t="s">
        <x:v>796</x:v>
      </x:c>
      <x:c r="D231" s="36"/>
      <x:c r="E231" s="36" t="s">
        <x:v>706</x:v>
      </x:c>
      <x:c r="F231" s="36"/>
      <x:c r="G231" s="36"/>
      <x:c r="H231" s="36"/>
      <x:c r="I231" s="36"/>
    </x:row>
    <x:row r="232" ht="66">
      <x:c r="A232" s="36" t="s">
        <x:v>702</x:v>
      </x:c>
      <x:c r="B232" s="36"/>
      <x:c r="C232" s="36" t="s">
        <x:v>797</x:v>
      </x:c>
      <x:c r="D232" s="36"/>
      <x:c r="E232" s="36" t="s">
        <x:v>706</x:v>
      </x:c>
      <x:c r="F232" s="36"/>
      <x:c r="G232" s="36"/>
      <x:c r="H232" s="36"/>
      <x:c r="I232" s="36"/>
    </x:row>
    <x:row r="233" ht="66">
      <x:c r="A233" s="36" t="s">
        <x:v>702</x:v>
      </x:c>
      <x:c r="B233" s="36"/>
      <x:c r="C233" s="36" t="s">
        <x:v>798</x:v>
      </x:c>
      <x:c r="D233" s="36"/>
      <x:c r="E233" s="36" t="s">
        <x:v>706</x:v>
      </x:c>
      <x:c r="F233" s="36"/>
      <x:c r="G233" s="36"/>
      <x:c r="H233" s="36"/>
      <x:c r="I233" s="36"/>
    </x:row>
    <x:row r="234" ht="66">
      <x:c r="A234" s="36" t="s">
        <x:v>702</x:v>
      </x:c>
      <x:c r="B234" s="36"/>
      <x:c r="C234" s="36" t="s">
        <x:v>799</x:v>
      </x:c>
      <x:c r="D234" s="36"/>
      <x:c r="E234" s="36" t="s">
        <x:v>706</x:v>
      </x:c>
      <x:c r="F234" s="36"/>
      <x:c r="G234" s="36"/>
      <x:c r="H234" s="36"/>
      <x:c r="I234" s="36"/>
    </x:row>
    <x:row r="235" ht="66">
      <x:c r="A235" s="36" t="s">
        <x:v>702</x:v>
      </x:c>
      <x:c r="B235" s="36"/>
      <x:c r="C235" s="36" t="s">
        <x:v>800</x:v>
      </x:c>
      <x:c r="D235" s="36"/>
      <x:c r="E235" s="36" t="s">
        <x:v>706</x:v>
      </x:c>
      <x:c r="F235" s="36"/>
      <x:c r="G235" s="36"/>
      <x:c r="H235" s="36"/>
      <x:c r="I235" s="36"/>
    </x:row>
    <x:row r="236" ht="66">
      <x:c r="A236" s="36" t="s">
        <x:v>702</x:v>
      </x:c>
      <x:c r="B236" s="36"/>
      <x:c r="C236" s="36" t="s">
        <x:v>172</x:v>
      </x:c>
      <x:c r="D236" s="36"/>
      <x:c r="E236" s="36" t="s">
        <x:v>706</x:v>
      </x:c>
      <x:c r="F236" s="36"/>
      <x:c r="G236" s="36"/>
      <x:c r="H236" s="36" t="s">
        <x:v>16</x:v>
      </x:c>
      <x:c r="I236" s="36"/>
    </x:row>
    <x:row r="237" ht="66">
      <x:c r="A237" s="36" t="s">
        <x:v>702</x:v>
      </x:c>
      <x:c r="B237" s="36"/>
      <x:c r="C237" s="36" t="s">
        <x:v>801</x:v>
      </x:c>
      <x:c r="D237" s="36"/>
      <x:c r="E237" s="36" t="s">
        <x:v>706</x:v>
      </x:c>
      <x:c r="F237" s="36"/>
      <x:c r="G237" s="36"/>
      <x:c r="H237" s="36"/>
      <x:c r="I237" s="36"/>
    </x:row>
    <x:row r="238" ht="66">
      <x:c r="A238" s="36" t="s">
        <x:v>702</x:v>
      </x:c>
      <x:c r="B238" s="36"/>
      <x:c r="C238" s="36" t="s">
        <x:v>802</x:v>
      </x:c>
      <x:c r="D238" s="36"/>
      <x:c r="E238" s="36" t="s">
        <x:v>706</x:v>
      </x:c>
      <x:c r="F238" s="36"/>
      <x:c r="G238" s="36"/>
      <x:c r="H238" s="36" t="s">
        <x:v>16</x:v>
      </x:c>
      <x:c r="I238" s="36"/>
    </x:row>
    <x:row r="239" ht="66">
      <x:c r="A239" s="36" t="s">
        <x:v>803</x:v>
      </x:c>
      <x:c r="B239" s="36"/>
      <x:c r="C239" s="36" t="s">
        <x:v>804</x:v>
      </x:c>
      <x:c r="D239" s="36"/>
      <x:c r="E239" s="36"/>
      <x:c r="F239" s="36" t="s">
        <x:v>706</x:v>
      </x:c>
      <x:c r="G239" s="36" t="s">
        <x:v>729</x:v>
      </x:c>
      <x:c r="H239" s="36"/>
      <x:c r="I239" s="36"/>
    </x:row>
    <x:row r="240" ht="66">
      <x:c r="A240" s="36" t="s">
        <x:v>803</x:v>
      </x:c>
      <x:c r="B240" s="36"/>
      <x:c r="C240" s="36" t="s">
        <x:v>805</x:v>
      </x:c>
      <x:c r="D240" s="36"/>
      <x:c r="E240" s="36"/>
      <x:c r="F240" s="36" t="s">
        <x:v>706</x:v>
      </x:c>
      <x:c r="G240" s="36" t="s">
        <x:v>729</x:v>
      </x:c>
      <x:c r="H240" s="36"/>
      <x:c r="I240" s="36"/>
    </x:row>
    <x:row r="241" ht="66">
      <x:c r="A241" s="36" t="s">
        <x:v>803</x:v>
      </x:c>
      <x:c r="B241" s="36"/>
      <x:c r="C241" s="36" t="s">
        <x:v>18</x:v>
      </x:c>
      <x:c r="D241" s="36"/>
      <x:c r="E241" s="36"/>
      <x:c r="F241" s="36" t="s">
        <x:v>706</x:v>
      </x:c>
      <x:c r="G241" s="36" t="s">
        <x:v>729</x:v>
      </x:c>
      <x:c r="H241" s="36"/>
      <x:c r="I241" s="36"/>
    </x:row>
    <x:row r="242" ht="66">
      <x:c r="A242" s="36" t="s">
        <x:v>803</x:v>
      </x:c>
      <x:c r="B242" s="36"/>
      <x:c r="C242" s="36" t="s">
        <x:v>26</x:v>
      </x:c>
      <x:c r="D242" s="36"/>
      <x:c r="E242" s="36"/>
      <x:c r="F242" s="36" t="s">
        <x:v>706</x:v>
      </x:c>
      <x:c r="G242" s="36" t="s">
        <x:v>752</x:v>
      </x:c>
      <x:c r="H242" s="36"/>
      <x:c r="I242" s="36"/>
    </x:row>
    <x:row r="243" ht="66">
      <x:c r="A243" s="36" t="s">
        <x:v>803</x:v>
      </x:c>
      <x:c r="B243" s="36"/>
      <x:c r="C243" s="36" t="s">
        <x:v>806</x:v>
      </x:c>
      <x:c r="D243" s="36" t="s">
        <x:v>807</x:v>
      </x:c>
      <x:c r="E243" s="36"/>
      <x:c r="F243" s="36" t="s">
        <x:v>711</x:v>
      </x:c>
      <x:c r="G243" s="36" t="s">
        <x:v>792</x:v>
      </x:c>
      <x:c r="H243" s="36"/>
      <x:c r="I243" s="36"/>
    </x:row>
    <x:row r="244" ht="66">
      <x:c r="A244" s="36" t="s">
        <x:v>803</x:v>
      </x:c>
      <x:c r="B244" s="36"/>
      <x:c r="C244" s="36" t="s">
        <x:v>808</x:v>
      </x:c>
      <x:c r="D244" s="36" t="s">
        <x:v>809</x:v>
      </x:c>
      <x:c r="E244" s="36"/>
      <x:c r="F244" s="36" t="s">
        <x:v>711</x:v>
      </x:c>
      <x:c r="G244" s="36" t="s">
        <x:v>792</x:v>
      </x:c>
      <x:c r="H244" s="36"/>
      <x:c r="I244" s="36"/>
    </x:row>
    <x:row r="245" ht="66">
      <x:c r="A245" s="36" t="s">
        <x:v>803</x:v>
      </x:c>
      <x:c r="B245" s="36"/>
      <x:c r="C245" s="36" t="s">
        <x:v>810</x:v>
      </x:c>
      <x:c r="D245" s="36" t="s">
        <x:v>807</x:v>
      </x:c>
      <x:c r="E245" s="36"/>
      <x:c r="F245" s="36" t="s">
        <x:v>711</x:v>
      </x:c>
      <x:c r="G245" s="36" t="s">
        <x:v>792</x:v>
      </x:c>
      <x:c r="H245" s="36"/>
      <x:c r="I245" s="36"/>
    </x:row>
    <x:row r="246" ht="66">
      <x:c r="A246" s="36" t="s">
        <x:v>803</x:v>
      </x:c>
      <x:c r="B246" s="36"/>
      <x:c r="C246" s="36" t="s">
        <x:v>35</x:v>
      </x:c>
      <x:c r="D246" s="36"/>
      <x:c r="E246" s="36"/>
      <x:c r="F246" s="36" t="s">
        <x:v>706</x:v>
      </x:c>
      <x:c r="G246" s="36" t="s">
        <x:v>711</x:v>
      </x:c>
      <x:c r="H246" s="36"/>
      <x:c r="I246" s="36"/>
    </x:row>
    <x:row r="247" ht="66">
      <x:c r="A247" s="36" t="s">
        <x:v>803</x:v>
      </x:c>
      <x:c r="B247" s="36"/>
      <x:c r="C247" s="36" t="s">
        <x:v>811</x:v>
      </x:c>
      <x:c r="D247" s="36" t="s">
        <x:v>812</x:v>
      </x:c>
      <x:c r="E247" s="36"/>
      <x:c r="F247" s="36" t="s">
        <x:v>706</x:v>
      </x:c>
      <x:c r="G247" s="36" t="s">
        <x:v>729</x:v>
      </x:c>
      <x:c r="H247" s="36"/>
      <x:c r="I247" s="36"/>
    </x:row>
    <x:row r="248" ht="66">
      <x:c r="A248" s="36" t="s">
        <x:v>803</x:v>
      </x:c>
      <x:c r="B248" s="36"/>
      <x:c r="C248" s="36" t="s">
        <x:v>813</x:v>
      </x:c>
      <x:c r="D248" s="36" t="s">
        <x:v>814</x:v>
      </x:c>
      <x:c r="E248" s="36"/>
      <x:c r="F248" s="36" t="s">
        <x:v>706</x:v>
      </x:c>
      <x:c r="G248" s="36" t="s">
        <x:v>729</x:v>
      </x:c>
      <x:c r="H248" s="36"/>
      <x:c r="I248" s="36"/>
    </x:row>
    <x:row r="249" ht="66">
      <x:c r="A249" s="36" t="s">
        <x:v>803</x:v>
      </x:c>
      <x:c r="B249" s="36"/>
      <x:c r="C249" s="36" t="s">
        <x:v>815</x:v>
      </x:c>
      <x:c r="D249" s="36"/>
      <x:c r="E249" s="36"/>
      <x:c r="F249" s="36" t="s">
        <x:v>706</x:v>
      </x:c>
      <x:c r="G249" s="36" t="s">
        <x:v>729</x:v>
      </x:c>
      <x:c r="H249" s="36" t="s">
        <x:v>16</x:v>
      </x:c>
      <x:c r="I249" s="36"/>
    </x:row>
    <x:row r="250" ht="66">
      <x:c r="A250" s="36" t="s">
        <x:v>803</x:v>
      </x:c>
      <x:c r="B250" s="36"/>
      <x:c r="C250" s="36" t="s">
        <x:v>816</x:v>
      </x:c>
      <x:c r="D250" s="36" t="s">
        <x:v>817</x:v>
      </x:c>
      <x:c r="E250" s="36"/>
      <x:c r="F250" s="36" t="s">
        <x:v>706</x:v>
      </x:c>
      <x:c r="G250" s="36" t="s">
        <x:v>729</x:v>
      </x:c>
      <x:c r="H250" s="36"/>
      <x:c r="I250" s="36"/>
    </x:row>
    <x:row r="251" ht="66">
      <x:c r="A251" s="36" t="s">
        <x:v>803</x:v>
      </x:c>
      <x:c r="B251" s="36"/>
      <x:c r="C251" s="36" t="s">
        <x:v>818</x:v>
      </x:c>
      <x:c r="D251" s="36"/>
      <x:c r="E251" s="36"/>
      <x:c r="F251" s="36" t="s">
        <x:v>706</x:v>
      </x:c>
      <x:c r="G251" s="36" t="s">
        <x:v>729</x:v>
      </x:c>
      <x:c r="H251" s="36"/>
      <x:c r="I251" s="36"/>
    </x:row>
    <x:row r="252" ht="66">
      <x:c r="A252" s="36" t="s">
        <x:v>803</x:v>
      </x:c>
      <x:c r="B252" s="36"/>
      <x:c r="C252" s="36" t="s">
        <x:v>819</x:v>
      </x:c>
      <x:c r="D252" s="36"/>
      <x:c r="E252" s="36"/>
      <x:c r="F252" s="36" t="s">
        <x:v>706</x:v>
      </x:c>
      <x:c r="G252" s="36" t="s">
        <x:v>711</x:v>
      </x:c>
      <x:c r="H252" s="36"/>
      <x:c r="I252" s="36"/>
    </x:row>
    <x:row r="253" ht="66">
      <x:c r="A253" s="36" t="s">
        <x:v>803</x:v>
      </x:c>
      <x:c r="B253" s="36"/>
      <x:c r="C253" s="36" t="s">
        <x:v>820</x:v>
      </x:c>
      <x:c r="D253" s="36"/>
      <x:c r="E253" s="36"/>
      <x:c r="F253" s="36" t="s">
        <x:v>706</x:v>
      </x:c>
      <x:c r="G253" s="36" t="s">
        <x:v>729</x:v>
      </x:c>
      <x:c r="H253" s="36"/>
      <x:c r="I253" s="36"/>
    </x:row>
    <x:row r="254" ht="66">
      <x:c r="A254" s="36" t="s">
        <x:v>803</x:v>
      </x:c>
      <x:c r="B254" s="36"/>
      <x:c r="C254" s="36" t="s">
        <x:v>821</x:v>
      </x:c>
      <x:c r="D254" s="36"/>
      <x:c r="E254" s="36"/>
      <x:c r="F254" s="36" t="s">
        <x:v>706</x:v>
      </x:c>
      <x:c r="G254" s="36" t="s">
        <x:v>729</x:v>
      </x:c>
      <x:c r="H254" s="36"/>
      <x:c r="I254" s="36"/>
    </x:row>
    <x:row r="255" ht="66">
      <x:c r="A255" s="36" t="s">
        <x:v>803</x:v>
      </x:c>
      <x:c r="B255" s="36"/>
      <x:c r="C255" s="36" t="s">
        <x:v>822</x:v>
      </x:c>
      <x:c r="D255" s="36"/>
      <x:c r="E255" s="36"/>
      <x:c r="F255" s="36" t="s">
        <x:v>706</x:v>
      </x:c>
      <x:c r="G255" s="36" t="s">
        <x:v>729</x:v>
      </x:c>
      <x:c r="H255" s="36"/>
      <x:c r="I255" s="36"/>
    </x:row>
    <x:row r="256" ht="66">
      <x:c r="A256" s="36" t="s">
        <x:v>803</x:v>
      </x:c>
      <x:c r="B256" s="36"/>
      <x:c r="C256" s="36" t="s">
        <x:v>823</x:v>
      </x:c>
      <x:c r="D256" s="36"/>
      <x:c r="E256" s="36"/>
      <x:c r="F256" s="36" t="s">
        <x:v>706</x:v>
      </x:c>
      <x:c r="G256" s="36" t="s">
        <x:v>729</x:v>
      </x:c>
      <x:c r="H256" s="36"/>
      <x:c r="I256" s="36"/>
    </x:row>
    <x:row r="257" ht="66">
      <x:c r="A257" s="36" t="s">
        <x:v>803</x:v>
      </x:c>
      <x:c r="B257" s="36"/>
      <x:c r="C257" s="36" t="s">
        <x:v>824</x:v>
      </x:c>
      <x:c r="D257" s="36"/>
      <x:c r="E257" s="36"/>
      <x:c r="F257" s="36" t="s">
        <x:v>706</x:v>
      </x:c>
      <x:c r="G257" s="36" t="s">
        <x:v>729</x:v>
      </x:c>
      <x:c r="H257" s="36"/>
      <x:c r="I257" s="36"/>
    </x:row>
    <x:row r="258" ht="66">
      <x:c r="A258" s="36" t="s">
        <x:v>803</x:v>
      </x:c>
      <x:c r="B258" s="36"/>
      <x:c r="C258" s="36" t="s">
        <x:v>825</x:v>
      </x:c>
      <x:c r="D258" s="36"/>
      <x:c r="E258" s="36"/>
      <x:c r="F258" s="36" t="s">
        <x:v>706</x:v>
      </x:c>
      <x:c r="G258" s="36" t="s">
        <x:v>729</x:v>
      </x:c>
      <x:c r="H258" s="36"/>
      <x:c r="I258" s="36"/>
    </x:row>
    <x:row r="259" ht="66">
      <x:c r="A259" s="36" t="s">
        <x:v>803</x:v>
      </x:c>
      <x:c r="B259" s="36"/>
      <x:c r="C259" s="36" t="s">
        <x:v>826</x:v>
      </x:c>
      <x:c r="D259" s="36"/>
      <x:c r="E259" s="36"/>
      <x:c r="F259" s="36" t="s">
        <x:v>706</x:v>
      </x:c>
      <x:c r="G259" s="36" t="s">
        <x:v>729</x:v>
      </x:c>
      <x:c r="H259" s="36"/>
      <x:c r="I259" s="36"/>
    </x:row>
    <x:row r="260" ht="66">
      <x:c r="A260" s="36" t="s">
        <x:v>803</x:v>
      </x:c>
      <x:c r="B260" s="36"/>
      <x:c r="C260" s="36" t="s">
        <x:v>827</x:v>
      </x:c>
      <x:c r="D260" s="36"/>
      <x:c r="E260" s="36"/>
      <x:c r="F260" s="36" t="s">
        <x:v>706</x:v>
      </x:c>
      <x:c r="G260" s="36" t="s">
        <x:v>729</x:v>
      </x:c>
      <x:c r="H260" s="36"/>
      <x:c r="I260" s="36"/>
    </x:row>
    <x:row r="261" ht="66">
      <x:c r="A261" s="36" t="s">
        <x:v>803</x:v>
      </x:c>
      <x:c r="B261" s="36"/>
      <x:c r="C261" s="36" t="s">
        <x:v>828</x:v>
      </x:c>
      <x:c r="D261" s="36"/>
      <x:c r="E261" s="36"/>
      <x:c r="F261" s="36" t="s">
        <x:v>706</x:v>
      </x:c>
      <x:c r="G261" s="36" t="s">
        <x:v>729</x:v>
      </x:c>
      <x:c r="H261" s="36"/>
      <x:c r="I261" s="36"/>
    </x:row>
    <x:row r="262" ht="66">
      <x:c r="A262" s="36" t="s">
        <x:v>803</x:v>
      </x:c>
      <x:c r="B262" s="36"/>
      <x:c r="C262" s="36" t="s">
        <x:v>829</x:v>
      </x:c>
      <x:c r="D262" s="36" t="s">
        <x:v>830</x:v>
      </x:c>
      <x:c r="E262" s="36"/>
      <x:c r="F262" s="36" t="s">
        <x:v>706</x:v>
      </x:c>
      <x:c r="G262" s="36" t="s">
        <x:v>729</x:v>
      </x:c>
      <x:c r="H262" s="36"/>
      <x:c r="I262" s="36"/>
    </x:row>
    <x:row r="263" ht="66">
      <x:c r="A263" s="36" t="s">
        <x:v>803</x:v>
      </x:c>
      <x:c r="B263" s="36"/>
      <x:c r="C263" s="36" t="s">
        <x:v>831</x:v>
      </x:c>
      <x:c r="D263" s="36" t="s">
        <x:v>832</x:v>
      </x:c>
      <x:c r="E263" s="36"/>
      <x:c r="F263" s="36" t="s">
        <x:v>706</x:v>
      </x:c>
      <x:c r="G263" s="36" t="s">
        <x:v>729</x:v>
      </x:c>
      <x:c r="H263" s="36"/>
      <x:c r="I263" s="36"/>
    </x:row>
    <x:row r="264" ht="66">
      <x:c r="A264" s="36" t="s">
        <x:v>803</x:v>
      </x:c>
      <x:c r="B264" s="36"/>
      <x:c r="C264" s="36" t="s">
        <x:v>833</x:v>
      </x:c>
      <x:c r="D264" s="36" t="s">
        <x:v>834</x:v>
      </x:c>
      <x:c r="E264" s="36"/>
      <x:c r="F264" s="36" t="s">
        <x:v>706</x:v>
      </x:c>
      <x:c r="G264" s="36" t="s">
        <x:v>711</x:v>
      </x:c>
      <x:c r="H264" s="36" t="s">
        <x:v>16</x:v>
      </x:c>
      <x:c r="I264" s="36"/>
    </x:row>
    <x:row r="265" ht="66">
      <x:c r="A265" s="36" t="s">
        <x:v>803</x:v>
      </x:c>
      <x:c r="B265" s="36"/>
      <x:c r="C265" s="36" t="s">
        <x:v>835</x:v>
      </x:c>
      <x:c r="D265" s="36" t="s">
        <x:v>834</x:v>
      </x:c>
      <x:c r="E265" s="36"/>
      <x:c r="F265" s="36" t="s">
        <x:v>706</x:v>
      </x:c>
      <x:c r="G265" s="36" t="s">
        <x:v>729</x:v>
      </x:c>
      <x:c r="H265" s="36" t="s">
        <x:v>16</x:v>
      </x:c>
      <x:c r="I265" s="36"/>
    </x:row>
    <x:row r="266" ht="66">
      <x:c r="A266" s="36" t="s">
        <x:v>803</x:v>
      </x:c>
      <x:c r="B266" s="36"/>
      <x:c r="C266" s="36" t="s">
        <x:v>836</x:v>
      </x:c>
      <x:c r="D266" s="36" t="s">
        <x:v>832</x:v>
      </x:c>
      <x:c r="E266" s="36"/>
      <x:c r="F266" s="36" t="s">
        <x:v>706</x:v>
      </x:c>
      <x:c r="G266" s="36" t="s">
        <x:v>729</x:v>
      </x:c>
      <x:c r="H266" s="36"/>
      <x:c r="I266" s="36"/>
    </x:row>
    <x:row r="267" ht="66">
      <x:c r="A267" s="36" t="s">
        <x:v>803</x:v>
      </x:c>
      <x:c r="B267" s="36"/>
      <x:c r="C267" s="36" t="s">
        <x:v>837</x:v>
      </x:c>
      <x:c r="D267" s="36"/>
      <x:c r="E267" s="36"/>
      <x:c r="F267" s="36" t="s">
        <x:v>706</x:v>
      </x:c>
      <x:c r="G267" s="36" t="s">
        <x:v>729</x:v>
      </x:c>
      <x:c r="H267" s="36"/>
      <x:c r="I267" s="36"/>
    </x:row>
    <x:row r="268" ht="66">
      <x:c r="A268" s="36" t="s">
        <x:v>803</x:v>
      </x:c>
      <x:c r="B268" s="36"/>
      <x:c r="C268" s="36" t="s">
        <x:v>838</x:v>
      </x:c>
      <x:c r="D268" s="36" t="s">
        <x:v>839</x:v>
      </x:c>
      <x:c r="E268" s="36"/>
      <x:c r="F268" s="36" t="s">
        <x:v>706</x:v>
      </x:c>
      <x:c r="G268" s="36" t="s">
        <x:v>729</x:v>
      </x:c>
      <x:c r="H268" s="36" t="s">
        <x:v>16</x:v>
      </x:c>
      <x:c r="I268" s="36"/>
    </x:row>
    <x:row r="269" ht="66">
      <x:c r="A269" s="36" t="s">
        <x:v>803</x:v>
      </x:c>
      <x:c r="B269" s="36"/>
      <x:c r="C269" s="36" t="s">
        <x:v>840</x:v>
      </x:c>
      <x:c r="D269" s="36" t="s">
        <x:v>841</x:v>
      </x:c>
      <x:c r="E269" s="36"/>
      <x:c r="F269" s="36" t="s">
        <x:v>706</x:v>
      </x:c>
      <x:c r="G269" s="36" t="s">
        <x:v>729</x:v>
      </x:c>
      <x:c r="H269" s="36"/>
      <x:c r="I269" s="36"/>
    </x:row>
    <x:row r="270" ht="66">
      <x:c r="A270" s="36" t="s">
        <x:v>803</x:v>
      </x:c>
      <x:c r="B270" s="36"/>
      <x:c r="C270" s="36" t="s">
        <x:v>842</x:v>
      </x:c>
      <x:c r="D270" s="36" t="s">
        <x:v>841</x:v>
      </x:c>
      <x:c r="E270" s="36"/>
      <x:c r="F270" s="36" t="s">
        <x:v>706</x:v>
      </x:c>
      <x:c r="G270" s="36" t="s">
        <x:v>729</x:v>
      </x:c>
      <x:c r="H270" s="36"/>
      <x:c r="I270" s="36"/>
    </x:row>
    <x:row r="271" ht="66">
      <x:c r="A271" s="36" t="s">
        <x:v>803</x:v>
      </x:c>
      <x:c r="B271" s="36"/>
      <x:c r="C271" s="36" t="s">
        <x:v>843</x:v>
      </x:c>
      <x:c r="D271" s="36"/>
      <x:c r="E271" s="36"/>
      <x:c r="F271" s="36" t="s">
        <x:v>706</x:v>
      </x:c>
      <x:c r="G271" s="36" t="s">
        <x:v>729</x:v>
      </x:c>
      <x:c r="H271" s="36"/>
      <x:c r="I271" s="36"/>
    </x:row>
    <x:row r="272" ht="66">
      <x:c r="A272" s="36" t="s">
        <x:v>803</x:v>
      </x:c>
      <x:c r="B272" s="36"/>
      <x:c r="C272" s="36" t="s">
        <x:v>844</x:v>
      </x:c>
      <x:c r="D272" s="36" t="s">
        <x:v>845</x:v>
      </x:c>
      <x:c r="E272" s="36"/>
      <x:c r="F272" s="36" t="s">
        <x:v>706</x:v>
      </x:c>
      <x:c r="G272" s="36" t="s">
        <x:v>729</x:v>
      </x:c>
      <x:c r="H272" s="36"/>
      <x:c r="I272" s="36"/>
    </x:row>
    <x:row r="273" ht="39.599998474121094">
      <x:c r="A273" s="36" t="s">
        <x:v>846</x:v>
      </x:c>
      <x:c r="B273" s="36"/>
      <x:c r="C273" s="36" t="s">
        <x:v>847</x:v>
      </x:c>
      <x:c r="D273" s="36"/>
      <x:c r="E273" s="36" t="s">
        <x:v>848</x:v>
      </x:c>
      <x:c r="F273" s="36"/>
      <x:c r="G273" s="36"/>
      <x:c r="H273" s="36"/>
      <x:c r="I273" s="36"/>
    </x:row>
    <x:row r="274">
      <x:c r="A274" s="36" t="s">
        <x:v>846</x:v>
      </x:c>
      <x:c r="B274" s="36"/>
      <x:c r="C274" s="36" t="s">
        <x:v>849</x:v>
      </x:c>
      <x:c r="D274" s="36"/>
      <x:c r="E274" s="36" t="s">
        <x:v>706</x:v>
      </x:c>
      <x:c r="F274" s="36"/>
      <x:c r="G274" s="36"/>
      <x:c r="H274" s="36"/>
      <x:c r="I274" s="36"/>
    </x:row>
    <x:row r="275" ht="52.79999923706055">
      <x:c r="A275" s="36" t="s">
        <x:v>850</x:v>
      </x:c>
      <x:c r="B275" s="36"/>
      <x:c r="C275" s="36" t="s">
        <x:v>851</x:v>
      </x:c>
      <x:c r="D275" s="36"/>
      <x:c r="E275" s="36" t="s">
        <x:v>706</x:v>
      </x:c>
      <x:c r="F275" s="36"/>
      <x:c r="G275" s="36"/>
      <x:c r="H275" s="36"/>
      <x:c r="I275" s="36"/>
    </x:row>
    <x:row r="276" ht="52.79999923706055">
      <x:c r="A276" s="36" t="s">
        <x:v>850</x:v>
      </x:c>
      <x:c r="B276" s="36"/>
      <x:c r="C276" s="36" t="s">
        <x:v>852</x:v>
      </x:c>
      <x:c r="D276" s="36"/>
      <x:c r="E276" s="36" t="s">
        <x:v>706</x:v>
      </x:c>
      <x:c r="F276" s="36"/>
      <x:c r="G276" s="36"/>
      <x:c r="H276" s="36"/>
      <x:c r="I276" s="36"/>
    </x:row>
    <x:row r="277" ht="39.599998474121094">
      <x:c r="A277" s="36" t="s">
        <x:v>853</x:v>
      </x:c>
      <x:c r="B277" s="36"/>
      <x:c r="C277" s="36" t="s">
        <x:v>854</x:v>
      </x:c>
      <x:c r="D277" s="36"/>
      <x:c r="E277" s="36" t="s">
        <x:v>706</x:v>
      </x:c>
      <x:c r="F277" s="36"/>
      <x:c r="G277" s="36"/>
      <x:c r="H277" s="36"/>
      <x:c r="I277" s="36"/>
    </x:row>
    <x:row r="278" ht="39.599998474121094">
      <x:c r="A278" s="36" t="s">
        <x:v>853</x:v>
      </x:c>
      <x:c r="B278" s="36"/>
      <x:c r="C278" s="36" t="s">
        <x:v>855</x:v>
      </x:c>
      <x:c r="D278" s="36"/>
      <x:c r="E278" s="36" t="s">
        <x:v>706</x:v>
      </x:c>
      <x:c r="F278" s="36"/>
      <x:c r="G278" s="36"/>
      <x:c r="H278" s="36"/>
      <x:c r="I278" s="36"/>
    </x:row>
    <x:row r="279" ht="39.599998474121094">
      <x:c r="A279" s="36" t="s">
        <x:v>853</x:v>
      </x:c>
      <x:c r="B279" s="36"/>
      <x:c r="C279" s="36" t="s">
        <x:v>207</x:v>
      </x:c>
      <x:c r="D279" s="36"/>
      <x:c r="E279" s="36" t="s">
        <x:v>706</x:v>
      </x:c>
      <x:c r="F279" s="36"/>
      <x:c r="G279" s="36"/>
      <x:c r="H279" s="36"/>
      <x:c r="I279" s="36"/>
    </x:row>
  </x:sheetData>
  <x:pageMargins left="0.7" right="0.7" top="0.75" bottom="0.75" header="0.3" footer="0.3"/>
  <x:tableParts count="2">
    <x:tablePart xmlns:r="http://schemas.openxmlformats.org/officeDocument/2006/relationships" r:id="R95cb86311ef84c6a"/>
    <x:tablePart xmlns:r="http://schemas.openxmlformats.org/officeDocument/2006/relationships" r:id="Red9862faa3f54f86"/>
  </x:tableParts>
</x:worksheet>
</file>

<file path=xl/worksheets/sheet3.xml><?xml version="1.0" encoding="utf-8"?>
<x:worksheet xmlns:x="http://schemas.openxmlformats.org/spreadsheetml/2006/main">
  <x:sheetFormatPr defaultRowHeight="15"/>
  <x:cols>
    <x:col min="4" max="4" width="48" hidden="0" customWidth="1"/>
    <x:col min="8" max="8" width="55" hidden="0" customWidth="1"/>
    <x:col min="1" max="1" width="34" hidden="0" customWidth="1"/>
    <x:col min="2" max="2" width="12" hidden="0" customWidth="1"/>
    <x:col min="3" max="3" width="8" hidden="0" customWidth="1"/>
    <x:col min="5" max="5" width="12" hidden="0" customWidth="1"/>
    <x:col min="6" max="6" width="16" hidden="0" customWidth="1"/>
    <x:col min="7" max="7" width="12" hidden="0" customWidth="1"/>
    <x:col min="9" max="9" width="10" hidden="0" customWidth="1"/>
    <x:col min="10" max="10" width="12" hidden="0" customWidth="1"/>
    <x:col min="11" max="11" width="14" hidden="0" customWidth="1"/>
    <x:col min="12" max="12" width="14" hidden="0" customWidth="1"/>
    <x:col min="14" max="14" width="24" hidden="0" customWidth="1"/>
    <x:col min="15" max="15" width="70" hidden="0" customWidth="1"/>
  </x:cols>
  <x:sheetData>
    <x:row r="1">
      <x:c r="A1" s="250" t="str">
        <x:v>Status</x:v>
      </x:c>
      <x:c r="B1" s="250" t="str">
        <x:v>Linha destino</x:v>
      </x:c>
      <x:c r="C1" s="250" t="str">
        <x:v>SQ</x:v>
      </x:c>
      <x:c r="D1" s="250" t="str">
        <x:v>Descrição destino</x:v>
      </x:c>
      <x:c r="E1" s="250" t="str">
        <x:v>QTD destino</x:v>
      </x:c>
      <x:c r="F1" s="250" t="str">
        <x:v>Valor unit. preenchido</x:v>
      </x:c>
      <x:c r="G1" s="250" t="str">
        <x:v>Item origem</x:v>
      </x:c>
      <x:c r="H1" s="250" t="str">
        <x:v>Descrição origem</x:v>
      </x:c>
      <x:c r="I1" s="250" t="str">
        <x:v>Un origem</x:v>
      </x:c>
      <x:c r="J1" s="250" t="str">
        <x:v>QTD origem</x:v>
      </x:c>
      <x:c r="K1" s="250" t="str">
        <x:v>R$ Unit. origem</x:v>
      </x:c>
      <x:c r="L1" s="250" t="str">
        <x:v>R$ Total origem</x:v>
      </x:c>
      <x:c r="N1" s="240" t="str">
        <x:v>Resumo do preenchimento</x:v>
      </x:c>
      <x:c r="O1" s="240" t="str"/>
    </x:row>
    <x:row r="2">
      <x:c r="A2" s="251" t="str">
        <x:v>PREENCHIDO</x:v>
      </x:c>
      <x:c r="B2" s="251" t="n">
        <x:v>4</x:v>
      </x:c>
      <x:c r="C2" s="251" t="n">
        <x:v>1</x:v>
      </x:c>
      <x:c r="D2" s="251" t="str">
        <x:v>Alicate compressão hidráulica 12 t - Acionamento Manual NTC 890020</x:v>
      </x:c>
      <x:c r="E2" s="251" t="n">
        <x:v>1</x:v>
      </x:c>
      <x:c r="F2" s="252" t="n">
        <x:v>4990</x:v>
      </x:c>
      <x:c r="G2" s="251" t="str">
        <x:v>1</x:v>
      </x:c>
      <x:c r="H2" s="251" t="str">
        <x:v>Alicate compressão hidráulica 12Ton com estojo sem matrizes e 32mm abertura cabeçote</x:v>
      </x:c>
      <x:c r="I2" s="251" t="str">
        <x:v>PC</x:v>
      </x:c>
      <x:c r="J2" s="251" t="n">
        <x:v>1</x:v>
      </x:c>
      <x:c r="K2" s="252" t="n">
        <x:v>4990</x:v>
      </x:c>
      <x:c r="L2" s="252" t="n">
        <x:v>4990</x:v>
      </x:c>
      <x:c r="N2" t="str">
        <x:v>Linhas analisadas</x:v>
      </x:c>
      <x:c r="O2" t="n">
        <x:v>100</x:v>
      </x:c>
    </x:row>
    <x:row r="3">
      <x:c r="A3" s="251" t="str">
        <x:v>PREENCHIDO</x:v>
      </x:c>
      <x:c r="B3" s="251" t="n">
        <x:v>5</x:v>
      </x:c>
      <x:c r="C3" s="251" t="n">
        <x:v>2</x:v>
      </x:c>
      <x:c r="D3" s="251" t="str">
        <x:v>Alicate compressão mecânica 4 t</x:v>
      </x:c>
      <x:c r="E3" s="251" t="n">
        <x:v>1</x:v>
      </x:c>
      <x:c r="F3" s="252" t="n">
        <x:v>1250</x:v>
      </x:c>
      <x:c r="G3" s="251" t="str">
        <x:v>2</x:v>
      </x:c>
      <x:c r="H3" s="251" t="str">
        <x:v>Alicate comp. mecanica 4Ton. sem estojo com matrizes fixa D3 e BG sem matrizes avulsas</x:v>
      </x:c>
      <x:c r="I3" s="251" t="str">
        <x:v>PC</x:v>
      </x:c>
      <x:c r="J3" s="251" t="n">
        <x:v>1</x:v>
      </x:c>
      <x:c r="K3" s="252" t="n">
        <x:v>1250</x:v>
      </x:c>
      <x:c r="L3" s="252" t="n">
        <x:v>1250</x:v>
      </x:c>
      <x:c r="N3" t="str">
        <x:v>Preenchidas</x:v>
      </x:c>
      <x:c r="O3" t="n">
        <x:v>74</x:v>
      </x:c>
    </x:row>
    <x:row r="4">
      <x:c r="A4" s="251" t="str">
        <x:v>PREENCHIDO</x:v>
      </x:c>
      <x:c r="B4" s="251" t="n">
        <x:v>6</x:v>
      </x:c>
      <x:c r="C4" s="251" t="n">
        <x:v>3</x:v>
      </x:c>
      <x:c r="D4" s="251" t="str">
        <x:v>Alicate prendedor com lâmina deslizante (bomba d’água) de 305 mm de comprimento</x:v>
      </x:c>
      <x:c r="E4" s="251" t="n">
        <x:v>1</x:v>
      </x:c>
      <x:c r="F4" s="252" t="n">
        <x:v>138</x:v>
      </x:c>
      <x:c r="G4" s="251" t="str">
        <x:v>3</x:v>
      </x:c>
      <x:c r="H4" s="251" t="str">
        <x:v>Alicate bomba d'água 12'' Isolado 1000V - Tramontina Pro - Promo</x:v>
      </x:c>
      <x:c r="I4" s="251" t="str">
        <x:v>PC</x:v>
      </x:c>
      <x:c r="J4" s="251" t="n">
        <x:v>1</x:v>
      </x:c>
      <x:c r="K4" s="252" t="n">
        <x:v>138</x:v>
      </x:c>
      <x:c r="L4" s="252" t="n">
        <x:v>138</x:v>
      </x:c>
      <x:c r="N4" t="str">
        <x:v>Não preenchidas</x:v>
      </x:c>
      <x:c r="O4" t="n">
        <x:v>26</x:v>
      </x:c>
    </x:row>
    <x:row r="5">
      <x:c r="A5" s="251" t="str">
        <x:v>PREENCHIDO</x:v>
      </x:c>
      <x:c r="B5" s="251" t="n">
        <x:v>7</x:v>
      </x:c>
      <x:c r="C5" s="251" t="n">
        <x:v>4</x:v>
      </x:c>
      <x:c r="D5" s="251" t="str">
        <x:v>Alicate tipo algema para corte de cabo CAA</x:v>
      </x:c>
      <x:c r="E5" s="251" t="n">
        <x:v>1</x:v>
      </x:c>
      <x:c r="F5" s="252" t="n">
        <x:v>1190</x:v>
      </x:c>
      <x:c r="G5" s="251" t="str">
        <x:v>4</x:v>
      </x:c>
      <x:c r="H5" s="251" t="str">
        <x:v>Alicate de corte para cabo de alum./cobre sem alma de aço até 48mm de diâmetro( 400mm2 )</x:v>
      </x:c>
      <x:c r="I5" s="251" t="str">
        <x:v>PC</x:v>
      </x:c>
      <x:c r="J5" s="251" t="n">
        <x:v>1</x:v>
      </x:c>
      <x:c r="K5" s="252" t="n">
        <x:v>1190</x:v>
      </x:c>
      <x:c r="L5" s="252" t="n">
        <x:v>1190</x:v>
      </x:c>
      <x:c r="N5" t="str">
        <x:v>Critério</x:v>
      </x:c>
      <x:c r="O5" t="str">
        <x:v>Correspondência manual/semântica entre descrição destino e Lista de materiais</x:v>
      </x:c>
    </x:row>
    <x:row r="6">
      <x:c r="A6" s="251" t="str">
        <x:v>PREENCHIDO</x:v>
      </x:c>
      <x:c r="B6" s="251" t="n">
        <x:v>8</x:v>
      </x:c>
      <x:c r="C6" s="251" t="n">
        <x:v>5</x:v>
      </x:c>
      <x:c r="D6" s="251" t="str">
        <x:v>Alicate universal (200mm) cobertura isolada</x:v>
      </x:c>
      <x:c r="E6" s="251" t="n">
        <x:v>3</x:v>
      </x:c>
      <x:c r="F6" s="252" t="n">
        <x:v>46</x:v>
      </x:c>
      <x:c r="G6" s="251" t="str">
        <x:v>5</x:v>
      </x:c>
      <x:c r="H6" s="251" t="str">
        <x:v>Alicate tipo universal ( cabo laranja ) 8" isolação 1000V - Sata</x:v>
      </x:c>
      <x:c r="I6" s="251" t="str">
        <x:v>PC</x:v>
      </x:c>
      <x:c r="J6" s="251" t="n">
        <x:v>3</x:v>
      </x:c>
      <x:c r="K6" s="252" t="n">
        <x:v>46</x:v>
      </x:c>
      <x:c r="L6" s="252" t="n">
        <x:v>138</x:v>
      </x:c>
      <x:c r="N6" t="str">
        <x:v>Observação</x:v>
      </x:c>
      <x:c r="O6" t="str">
        <x:v>Itens sem correspondência segura foram mantidos em branco para evitar valor incorreto.</x:v>
      </x:c>
    </x:row>
    <x:row r="7">
      <x:c r="A7" s="251" t="str">
        <x:v>PREENCHIDO</x:v>
      </x:c>
      <x:c r="B7" s="251" t="n">
        <x:v>9</x:v>
      </x:c>
      <x:c r="C7" s="251" t="n">
        <x:v>6</x:v>
      </x:c>
      <x:c r="D7" s="251" t="str">
        <x:v>Arco de serra (300 mm) com lâmina</x:v>
      </x:c>
      <x:c r="E7" s="251" t="n">
        <x:v>1</x:v>
      </x:c>
      <x:c r="F7" s="252" t="n">
        <x:v>25</x:v>
      </x:c>
      <x:c r="G7" s="251" t="str">
        <x:v>6</x:v>
      </x:c>
      <x:c r="H7" s="251" t="str">
        <x:v>Arco de serra regulável 12" - Starfer</x:v>
      </x:c>
      <x:c r="I7" s="251" t="str">
        <x:v>PC</x:v>
      </x:c>
      <x:c r="J7" s="251" t="n">
        <x:v>1</x:v>
      </x:c>
      <x:c r="K7" s="252" t="n">
        <x:v>25</x:v>
      </x:c>
      <x:c r="L7" s="252" t="n">
        <x:v>25</x:v>
      </x:c>
    </x:row>
    <x:row r="8">
      <x:c r="A8" s="251" t="str">
        <x:v>PREENCHIDO</x:v>
      </x:c>
      <x:c r="B8" s="251" t="n">
        <x:v>10</x:v>
      </x:c>
      <x:c r="C8" s="251" t="n">
        <x:v>7</x:v>
      </x:c>
      <x:c r="D8" s="251" t="str">
        <x:v>Balde de lona para içar materiais</x:v>
      </x:c>
      <x:c r="E8" s="251" t="n">
        <x:v>2</x:v>
      </x:c>
      <x:c r="F8" s="252" t="n">
        <x:v>46</x:v>
      </x:c>
      <x:c r="G8" s="251" t="str">
        <x:v>7</x:v>
      </x:c>
      <x:c r="H8" s="251" t="str">
        <x:v>Balde 30cmx35cm fundo sintético com alça de fita -</x:v>
      </x:c>
      <x:c r="I8" s="251" t="str">
        <x:v>PC</x:v>
      </x:c>
      <x:c r="J8" s="251" t="n">
        <x:v>2</x:v>
      </x:c>
      <x:c r="K8" s="252" t="n">
        <x:v>46</x:v>
      </x:c>
      <x:c r="L8" s="252" t="n">
        <x:v>92</x:v>
      </x:c>
    </x:row>
    <x:row r="9">
      <x:c r="A9" s="251" t="str">
        <x:v>PREENCHIDO</x:v>
      </x:c>
      <x:c r="B9" s="251" t="n">
        <x:v>11</x:v>
      </x:c>
      <x:c r="C9" s="251" t="n">
        <x:v>8</x:v>
      </x:c>
      <x:c r="D9" s="251" t="str">
        <x:v>Bandeira sinalizadora de 300 X 300 mm 1073</x:v>
      </x:c>
      <x:c r="E9" s="251" t="n">
        <x:v>1</x:v>
      </x:c>
      <x:c r="F9" s="252" t="n">
        <x:v>23.5</x:v>
      </x:c>
      <x:c r="G9" s="251" t="str">
        <x:v>8</x:v>
      </x:c>
      <x:c r="H9" s="251" t="str">
        <x:v>Bandeirola de nylon KP cor laranja 30x40cm com ilhoses e bastão</x:v>
      </x:c>
      <x:c r="I9" s="251" t="str">
        <x:v>PC</x:v>
      </x:c>
      <x:c r="J9" s="251" t="n">
        <x:v>1</x:v>
      </x:c>
      <x:c r="K9" s="252" t="n">
        <x:v>23.5</x:v>
      </x:c>
      <x:c r="L9" s="252" t="n">
        <x:v>23.5</x:v>
      </x:c>
    </x:row>
    <x:row r="10">
      <x:c r="A10" s="251" t="str">
        <x:v>NÃO PREENCHIDO - sem correspondente seguro</x:v>
      </x:c>
      <x:c r="B10" s="251" t="n">
        <x:v>12</x:v>
      </x:c>
      <x:c r="C10" s="251" t="n">
        <x:v>9</x:v>
      </x:c>
      <x:c r="D10" s="251" t="str">
        <x:v>Bandeja para ferramentas</x:v>
      </x:c>
      <x:c r="E10" s="251" t="n">
        <x:v>1</x:v>
      </x:c>
      <x:c r="F10" s="252"/>
      <x:c r="G10" s="251" t="str"/>
      <x:c r="H10" s="251" t="str"/>
      <x:c r="I10" s="251" t="str"/>
      <x:c r="J10" s="251" t="str"/>
      <x:c r="K10" s="252" t="str"/>
      <x:c r="L10" s="252" t="str"/>
    </x:row>
    <x:row r="11">
      <x:c r="A11" s="251" t="str">
        <x:v>PREENCHIDO</x:v>
      </x:c>
      <x:c r="B11" s="251" t="n">
        <x:v>13</x:v>
      </x:c>
      <x:c r="C11" s="251" t="n">
        <x:v>10</x:v>
      </x:c>
      <x:c r="D11" s="251" t="str">
        <x:v>Bastão de tração com espiral 32 x 700 mm</x:v>
      </x:c>
      <x:c r="E11" s="251" t="n">
        <x:v>3</x:v>
      </x:c>
      <x:c r="F11" s="252" t="n">
        <x:v>890</x:v>
      </x:c>
      <x:c r="G11" s="251" t="str">
        <x:v>9</x:v>
      </x:c>
      <x:c r="H11" s="251" t="str">
        <x:v>Bastão de tração com espiral 32mmx0,70m com 0,29m isolante para LV</x:v>
      </x:c>
      <x:c r="I11" s="251" t="str">
        <x:v>PC</x:v>
      </x:c>
      <x:c r="J11" s="251" t="n">
        <x:v>3</x:v>
      </x:c>
      <x:c r="K11" s="252" t="n">
        <x:v>890</x:v>
      </x:c>
      <x:c r="L11" s="252" t="n">
        <x:v>2670</x:v>
      </x:c>
    </x:row>
    <x:row r="12">
      <x:c r="A12" s="251" t="str">
        <x:v>PREENCHIDO</x:v>
      </x:c>
      <x:c r="B12" s="251" t="n">
        <x:v>14</x:v>
      </x:c>
      <x:c r="C12" s="251" t="n">
        <x:v>11</x:v>
      </x:c>
      <x:c r="D12" s="251" t="str">
        <x:v>Bastão garra 38 x 2345 mm</x:v>
      </x:c>
      <x:c r="E12" s="251" t="n">
        <x:v>1</x:v>
      </x:c>
      <x:c r="F12" s="252" t="n">
        <x:v>1790</x:v>
      </x:c>
      <x:c r="G12" s="251" t="str">
        <x:v>10</x:v>
      </x:c>
      <x:c r="H12" s="251" t="str">
        <x:v>Bastão garra 38mmx3,40m com 2,96m isolante para LV</x:v>
      </x:c>
      <x:c r="I12" s="251" t="str">
        <x:v>PC</x:v>
      </x:c>
      <x:c r="J12" s="251" t="n">
        <x:v>1</x:v>
      </x:c>
      <x:c r="K12" s="252" t="n">
        <x:v>1790</x:v>
      </x:c>
      <x:c r="L12" s="252" t="n">
        <x:v>1790</x:v>
      </x:c>
    </x:row>
    <x:row r="13">
      <x:c r="A13" s="251" t="str">
        <x:v>PREENCHIDO</x:v>
      </x:c>
      <x:c r="B13" s="251" t="n">
        <x:v>15</x:v>
      </x:c>
      <x:c r="C13" s="251" t="n">
        <x:v>12</x:v>
      </x:c>
      <x:c r="D13" s="251" t="str">
        <x:v>Bastão garra 64 x 3510 mm</x:v>
      </x:c>
      <x:c r="E13" s="251" t="n">
        <x:v>1</x:v>
      </x:c>
      <x:c r="F13" s="252" t="n">
        <x:v>2980</x:v>
      </x:c>
      <x:c r="G13" s="251" t="str">
        <x:v>11</x:v>
      </x:c>
      <x:c r="H13" s="251" t="str">
        <x:v>Bastão garra 64mmx3,95m com 3,51m isolante para LV</x:v>
      </x:c>
      <x:c r="I13" s="251" t="str">
        <x:v>PC</x:v>
      </x:c>
      <x:c r="J13" s="251" t="n">
        <x:v>1</x:v>
      </x:c>
      <x:c r="K13" s="252" t="n">
        <x:v>2980</x:v>
      </x:c>
      <x:c r="L13" s="252" t="n">
        <x:v>2980</x:v>
      </x:c>
    </x:row>
    <x:row r="14">
      <x:c r="A14" s="251" t="str">
        <x:v>PREENCHIDO</x:v>
      </x:c>
      <x:c r="B14" s="251" t="n">
        <x:v>16</x:v>
      </x:c>
      <x:c r="C14" s="251" t="n">
        <x:v>13</x:v>
      </x:c>
      <x:c r="D14" s="251" t="str">
        <x:v>Bastão universal 32 x 2550 mm</x:v>
      </x:c>
      <x:c r="E14" s="251" t="n">
        <x:v>1</x:v>
      </x:c>
      <x:c r="F14" s="252" t="n">
        <x:v>510</x:v>
      </x:c>
      <x:c r="G14" s="251" t="str">
        <x:v>12</x:v>
      </x:c>
      <x:c r="H14" s="251" t="str">
        <x:v>Bastão universal 2 cabeçotes 32mm x 2,20m para LV</x:v>
      </x:c>
      <x:c r="I14" s="251" t="str">
        <x:v>PC</x:v>
      </x:c>
      <x:c r="J14" s="251" t="n">
        <x:v>1</x:v>
      </x:c>
      <x:c r="K14" s="252" t="n">
        <x:v>510</x:v>
      </x:c>
      <x:c r="L14" s="252" t="n">
        <x:v>510</x:v>
      </x:c>
    </x:row>
    <x:row r="15">
      <x:c r="A15" s="251" t="str">
        <x:v>NÃO PREENCHIDO - sem correspondente seguro</x:v>
      </x:c>
      <x:c r="B15" s="251" t="n">
        <x:v>17</x:v>
      </x:c>
      <x:c r="C15" s="251" t="n">
        <x:v>14</x:v>
      </x:c>
      <x:c r="D15" s="251" t="str">
        <x:v>Binóculo</x:v>
      </x:c>
      <x:c r="E15" s="251" t="n">
        <x:v>1</x:v>
      </x:c>
      <x:c r="F15" s="252"/>
      <x:c r="G15" s="251" t="str"/>
      <x:c r="H15" s="251" t="str"/>
      <x:c r="I15" s="251" t="str"/>
      <x:c r="J15" s="251" t="str"/>
      <x:c r="K15" s="252" t="str"/>
      <x:c r="L15" s="252" t="str"/>
    </x:row>
    <x:row r="16">
      <x:c r="A16" s="251" t="str">
        <x:v>PREENCHIDO</x:v>
      </x:c>
      <x:c r="B16" s="251" t="n">
        <x:v>18</x:v>
      </x:c>
      <x:c r="C16" s="251" t="n">
        <x:v>15</x:v>
      </x:c>
      <x:c r="D16" s="251" t="str">
        <x:v>Bolsa de lona para proteção de luva de borracha</x:v>
      </x:c>
      <x:c r="E16" s="251" t="n">
        <x:v>6</x:v>
      </x:c>
      <x:c r="F16" s="252" t="n">
        <x:v>40</x:v>
      </x:c>
      <x:c r="G16" s="251" t="str">
        <x:v>13</x:v>
      </x:c>
      <x:c r="H16" s="251" t="str">
        <x:v>Bolsa para luvas isolantes tipo dupla 48cmx20cmx16cm - em lona verde</x:v>
      </x:c>
      <x:c r="I16" s="251" t="str">
        <x:v>PC</x:v>
      </x:c>
      <x:c r="J16" s="251" t="n">
        <x:v>6</x:v>
      </x:c>
      <x:c r="K16" s="252" t="n">
        <x:v>40</x:v>
      </x:c>
      <x:c r="L16" s="252" t="n">
        <x:v>240</x:v>
      </x:c>
    </x:row>
    <x:row r="17">
      <x:c r="A17" s="251" t="str">
        <x:v>PREENCHIDO</x:v>
      </x:c>
      <x:c r="B17" s="251" t="n">
        <x:v>19</x:v>
      </x:c>
      <x:c r="C17" s="251" t="n">
        <x:v>16</x:v>
      </x:c>
      <x:c r="D17" s="251" t="str">
        <x:v>Botão para manga de borracha</x:v>
      </x:c>
      <x:c r="E17" s="251" t="n">
        <x:v>9</x:v>
      </x:c>
      <x:c r="F17" s="252" t="n">
        <x:v>12</x:v>
      </x:c>
      <x:c r="G17" s="251" t="str">
        <x:v>14</x:v>
      </x:c>
      <x:c r="H17" s="251" t="str">
        <x:v>Botão manga isolante</x:v>
      </x:c>
      <x:c r="I17" s="251" t="str">
        <x:v>PC</x:v>
      </x:c>
      <x:c r="J17" s="251" t="n">
        <x:v>9</x:v>
      </x:c>
      <x:c r="K17" s="252" t="n">
        <x:v>12</x:v>
      </x:c>
      <x:c r="L17" s="252" t="n">
        <x:v>108</x:v>
      </x:c>
    </x:row>
    <x:row r="18">
      <x:c r="A18" s="251" t="str">
        <x:v>NÃO PREENCHIDO - sem correspondente seguro</x:v>
      </x:c>
      <x:c r="B18" s="251" t="n">
        <x:v>20</x:v>
      </x:c>
      <x:c r="C18" s="251" t="n">
        <x:v>17</x:v>
      </x:c>
      <x:c r="D18" s="251" t="str">
        <x:v>Bypass,Porta Fusível;290-430MM</x:v>
      </x:c>
      <x:c r="E18" s="251" t="n">
        <x:v>1</x:v>
      </x:c>
      <x:c r="F18" s="252"/>
      <x:c r="G18" s="251" t="str"/>
      <x:c r="H18" s="251" t="str"/>
      <x:c r="I18" s="251" t="str"/>
      <x:c r="J18" s="251" t="str"/>
      <x:c r="K18" s="252" t="str"/>
      <x:c r="L18" s="252" t="str"/>
    </x:row>
    <x:row r="19">
      <x:c r="A19" s="251" t="str">
        <x:v>PREENCHIDO</x:v>
      </x:c>
      <x:c r="B19" s="251" t="n">
        <x:v>21</x:v>
      </x:c>
      <x:c r="C19" s="251" t="n">
        <x:v>18</x:v>
      </x:c>
      <x:c r="D19" s="251" t="str">
        <x:v>Cabeçote (arpão) para operar chave fusível com terminal universal</x:v>
      </x:c>
      <x:c r="E19" s="251" t="n">
        <x:v>1</x:v>
      </x:c>
      <x:c r="F19" s="252" t="n">
        <x:v>51</x:v>
      </x:c>
      <x:c r="G19" s="251" t="str">
        <x:v>15</x:v>
      </x:c>
      <x:c r="H19" s="251" t="str">
        <x:v>Cabeçote para operação de chaves tipo desconector</x:v>
      </x:c>
      <x:c r="I19" s="251" t="str">
        <x:v>PC</x:v>
      </x:c>
      <x:c r="J19" s="251" t="n">
        <x:v>1</x:v>
      </x:c>
      <x:c r="K19" s="252" t="n">
        <x:v>51</x:v>
      </x:c>
      <x:c r="L19" s="252" t="n">
        <x:v>51</x:v>
      </x:c>
    </x:row>
    <x:row r="20">
      <x:c r="A20" s="251" t="str">
        <x:v>PREENCHIDO</x:v>
      </x:c>
      <x:c r="B20" s="251" t="n">
        <x:v>22</x:v>
      </x:c>
      <x:c r="C20" s="251" t="n">
        <x:v>19</x:v>
      </x:c>
      <x:c r="D20" s="251" t="str">
        <x:v>Cabeçote olhal sem isolador</x:v>
      </x:c>
      <x:c r="E20" s="251" t="n">
        <x:v>1</x:v>
      </x:c>
      <x:c r="F20" s="252" t="n">
        <x:v>990</x:v>
      </x:c>
      <x:c r="G20" s="251" t="str">
        <x:v>16</x:v>
      </x:c>
      <x:c r="H20" s="251" t="str">
        <x:v>Cabeçote olhal ( grande ) para conexão do bastão mastro com olhal ou garra ou içador p/ LV</x:v>
      </x:c>
      <x:c r="I20" s="251" t="str">
        <x:v>PC</x:v>
      </x:c>
      <x:c r="J20" s="251" t="n">
        <x:v>1</x:v>
      </x:c>
      <x:c r="K20" s="252" t="n">
        <x:v>990</x:v>
      </x:c>
      <x:c r="L20" s="252" t="n">
        <x:v>990</x:v>
      </x:c>
    </x:row>
    <x:row r="21">
      <x:c r="A21" s="251" t="str">
        <x:v>PREENCHIDO</x:v>
      </x:c>
      <x:c r="B21" s="251" t="n">
        <x:v>23</x:v>
      </x:c>
      <x:c r="C21" s="251" t="n">
        <x:v>20</x:v>
      </x:c>
      <x:c r="D21" s="251" t="str">
        <x:v>Cabo 35 mm² isolado para 15 kV/200 A (metros) 3 de 4m 2m 1m</x:v>
      </x:c>
      <x:c r="E21" s="251" t="n">
        <x:v>21</x:v>
      </x:c>
      <x:c r="F21" s="252" t="n">
        <x:v>220</x:v>
      </x:c>
      <x:c r="G21" s="251" t="str">
        <x:v>17</x:v>
      </x:c>
      <x:c r="H21" s="251" t="str">
        <x:v>Cabo de cobre flexível 2AWG ( 200A ) protegido cor laranja 15KV para LV</x:v>
      </x:c>
      <x:c r="I21" s="251" t="str">
        <x:v>MT</x:v>
      </x:c>
      <x:c r="J21" s="251" t="n">
        <x:v>21</x:v>
      </x:c>
      <x:c r="K21" s="252" t="n">
        <x:v>220</x:v>
      </x:c>
      <x:c r="L21" s="252" t="n">
        <x:v>4620</x:v>
      </x:c>
    </x:row>
    <x:row r="22">
      <x:c r="A22" s="251" t="str">
        <x:v>PREENCHIDO</x:v>
      </x:c>
      <x:c r="B22" s="251" t="n">
        <x:v>24</x:v>
      </x:c>
      <x:c r="C22" s="251" t="n">
        <x:v>21</x:v>
      </x:c>
      <x:c r="D22" s="251" t="str">
        <x:v>Cabo 70 mm² isolado para 15 kV/300 A (metros) 3 de 4m 1m</x:v>
      </x:c>
      <x:c r="E22" s="251" t="n">
        <x:v>15</x:v>
      </x:c>
      <x:c r="F22" s="252" t="n">
        <x:v>317</x:v>
      </x:c>
      <x:c r="G22" s="251" t="str">
        <x:v>18</x:v>
      </x:c>
      <x:c r="H22" s="251" t="str">
        <x:v>Cabo de cobre flexível 2/0 ( 300A ) protegido cor laranja 15KV para LV</x:v>
      </x:c>
      <x:c r="I22" s="251" t="str">
        <x:v>MT</x:v>
      </x:c>
      <x:c r="J22" s="251" t="n">
        <x:v>15</x:v>
      </x:c>
      <x:c r="K22" s="252" t="n">
        <x:v>317</x:v>
      </x:c>
      <x:c r="L22" s="252" t="n">
        <x:v>4755</x:v>
      </x:c>
    </x:row>
    <x:row r="23">
      <x:c r="A23" s="251" t="str">
        <x:v>PREENCHIDO</x:v>
      </x:c>
      <x:c r="B23" s="251" t="n">
        <x:v>25</x:v>
      </x:c>
      <x:c r="C23" s="251" t="n">
        <x:v>22</x:v>
      </x:c>
      <x:c r="D23" s="251" t="str">
        <x:v>Cabo 70 mm² isolado para 34,5 kV/300 A (metros) 3 de 4m 2m 1m</x:v>
      </x:c>
      <x:c r="E23" s="251" t="n">
        <x:v>21</x:v>
      </x:c>
      <x:c r="F23" s="252" t="n">
        <x:v>680</x:v>
      </x:c>
      <x:c r="G23" s="251" t="str">
        <x:v>19</x:v>
      </x:c>
      <x:c r="H23" s="251" t="str">
        <x:v>Cabo de cobre flexível 2/0 ( 300A ) protegido cor laranja 35KV para LV</x:v>
      </x:c>
      <x:c r="I23" s="251" t="str">
        <x:v>MT</x:v>
      </x:c>
      <x:c r="J23" s="251" t="n">
        <x:v>21</x:v>
      </x:c>
      <x:c r="K23" s="252" t="n">
        <x:v>680</x:v>
      </x:c>
      <x:c r="L23" s="252" t="n">
        <x:v>14280</x:v>
      </x:c>
    </x:row>
    <x:row r="24">
      <x:c r="A24" s="251" t="str">
        <x:v>PREENCHIDO</x:v>
      </x:c>
      <x:c r="B24" s="251" t="n">
        <x:v>26</x:v>
      </x:c>
      <x:c r="C24" s="251" t="n">
        <x:v>23</x:v>
      </x:c>
      <x:c r="D24" s="251" t="str">
        <x:v>Capacete com protetor facial  ETS 1086</x:v>
      </x:c>
      <x:c r="E24" s="251" t="n">
        <x:v>1</x:v>
      </x:c>
      <x:c r="F24" s="252" t="n">
        <x:v>750</x:v>
      </x:c>
      <x:c r="G24" s="251" t="str">
        <x:v>20</x:v>
      </x:c>
      <x:c r="H24" s="251" t="str">
        <x:v>Kit protetor facial p/arco elétrico ATPV 18,4cal/cm2 com capacete cor branco - CA 46765</x:v>
      </x:c>
      <x:c r="I24" s="251" t="str">
        <x:v>PC</x:v>
      </x:c>
      <x:c r="J24" s="251" t="n">
        <x:v>1</x:v>
      </x:c>
      <x:c r="K24" s="252" t="n">
        <x:v>750</x:v>
      </x:c>
      <x:c r="L24" s="252" t="n">
        <x:v>750</x:v>
      </x:c>
    </x:row>
    <x:row r="25">
      <x:c r="A25" s="251" t="str">
        <x:v>PREENCHIDO</x:v>
      </x:c>
      <x:c r="B25" s="251" t="n">
        <x:v>27</x:v>
      </x:c>
      <x:c r="C25" s="251" t="n">
        <x:v>24</x:v>
      </x:c>
      <x:c r="D25" s="251" t="str">
        <x:v>Canivete de 80 mm (bico chato)</x:v>
      </x:c>
      <x:c r="E25" s="251" t="n">
        <x:v>3</x:v>
      </x:c>
      <x:c r="F25" s="252" t="n">
        <x:v>33</x:v>
      </x:c>
      <x:c r="G25" s="251" t="str">
        <x:v>22</x:v>
      </x:c>
      <x:c r="H25" s="251" t="str">
        <x:v>Canivete tipo eletricista em aço inox 3" sem estojo</x:v>
      </x:c>
      <x:c r="I25" s="251" t="str">
        <x:v>PC</x:v>
      </x:c>
      <x:c r="J25" s="251" t="n">
        <x:v>3</x:v>
      </x:c>
      <x:c r="K25" s="252" t="n">
        <x:v>33</x:v>
      </x:c>
      <x:c r="L25" s="252" t="n">
        <x:v>99</x:v>
      </x:c>
    </x:row>
    <x:row r="26">
      <x:c r="A26" s="251" t="str">
        <x:v>PREENCHIDO</x:v>
      </x:c>
      <x:c r="B26" s="251" t="n">
        <x:v>28</x:v>
      </x:c>
      <x:c r="C26" s="251" t="n">
        <x:v>25</x:v>
      </x:c>
      <x:c r="D26" s="251" t="str">
        <x:v>Carretilha para içar materiais</x:v>
      </x:c>
      <x:c r="E26" s="251" t="n">
        <x:v>2</x:v>
      </x:c>
      <x:c r="F26" s="252" t="n">
        <x:v>118</x:v>
      </x:c>
      <x:c r="G26" s="251" t="str">
        <x:v>23</x:v>
      </x:c>
      <x:c r="H26" s="251" t="str">
        <x:v>Carretilha em aluminio p/ içar ferramentas com trava</x:v>
      </x:c>
      <x:c r="I26" s="251" t="str">
        <x:v>PC</x:v>
      </x:c>
      <x:c r="J26" s="251" t="n">
        <x:v>2</x:v>
      </x:c>
      <x:c r="K26" s="252" t="n">
        <x:v>118</x:v>
      </x:c>
      <x:c r="L26" s="252" t="n">
        <x:v>236</x:v>
      </x:c>
    </x:row>
    <x:row r="27">
      <x:c r="A27" s="251" t="str">
        <x:v>PREENCHIDO</x:v>
      </x:c>
      <x:c r="B27" s="251" t="n">
        <x:v>29</x:v>
      </x:c>
      <x:c r="C27" s="251" t="n">
        <x:v>26</x:v>
      </x:c>
      <x:c r="D27" s="251" t="str">
        <x:v>Chave Combinada 17 mm</x:v>
      </x:c>
      <x:c r="E27" s="251" t="n">
        <x:v>2</x:v>
      </x:c>
      <x:c r="F27" s="252" t="n">
        <x:v>98</x:v>
      </x:c>
      <x:c r="G27" s="251" t="str">
        <x:v>24</x:v>
      </x:c>
      <x:c r="H27" s="251" t="str">
        <x:v>Chave catraca estrela isolado 1000V 17mm - com teste atual</x:v>
      </x:c>
      <x:c r="I27" s="251" t="str">
        <x:v>PC</x:v>
      </x:c>
      <x:c r="J27" s="251" t="n">
        <x:v>2</x:v>
      </x:c>
      <x:c r="K27" s="252" t="n">
        <x:v>98</x:v>
      </x:c>
      <x:c r="L27" s="252" t="n">
        <x:v>196</x:v>
      </x:c>
    </x:row>
    <x:row r="28">
      <x:c r="A28" s="251" t="str">
        <x:v>PREENCHIDO</x:v>
      </x:c>
      <x:c r="B28" s="251" t="n">
        <x:v>30</x:v>
      </x:c>
      <x:c r="C28" s="251" t="n">
        <x:v>27</x:v>
      </x:c>
      <x:c r="D28" s="251" t="str">
        <x:v>Chave Combinada 19 mm</x:v>
      </x:c>
      <x:c r="E28" s="251" t="n">
        <x:v>2</x:v>
      </x:c>
      <x:c r="F28" s="252" t="n">
        <x:v>102</x:v>
      </x:c>
      <x:c r="G28" s="251" t="str">
        <x:v>25</x:v>
      </x:c>
      <x:c r="H28" s="251" t="str">
        <x:v>Chave catraca estrela isolado 1000V 19mm - com teste atual</x:v>
      </x:c>
      <x:c r="I28" s="251" t="str">
        <x:v>PC</x:v>
      </x:c>
      <x:c r="J28" s="251" t="n">
        <x:v>2</x:v>
      </x:c>
      <x:c r="K28" s="252" t="n">
        <x:v>102</x:v>
      </x:c>
      <x:c r="L28" s="252" t="n">
        <x:v>204</x:v>
      </x:c>
    </x:row>
    <x:row r="29">
      <x:c r="A29" s="251" t="str">
        <x:v>PREENCHIDO</x:v>
      </x:c>
      <x:c r="B29" s="251" t="n">
        <x:v>31</x:v>
      </x:c>
      <x:c r="C29" s="251" t="n">
        <x:v>28</x:v>
      </x:c>
      <x:c r="D29" s="251" t="str">
        <x:v>Chave de fenda 100 x 3,5 mm, com cobertura isolada para 1kV</x:v>
      </x:c>
      <x:c r="E29" s="251" t="n">
        <x:v>3</x:v>
      </x:c>
      <x:c r="F29" s="252" t="n">
        <x:v>13.6</x:v>
      </x:c>
      <x:c r="G29" s="251" t="str">
        <x:v>26</x:v>
      </x:c>
      <x:c r="H29" s="251" t="str">
        <x:v>Chave fenda cabo e haste isolada 1000V - 3/16x4 (5x100) Media - Tramontina PRO</x:v>
      </x:c>
      <x:c r="I29" s="251" t="str">
        <x:v>PC</x:v>
      </x:c>
      <x:c r="J29" s="251" t="n">
        <x:v>3</x:v>
      </x:c>
      <x:c r="K29" s="252" t="n">
        <x:v>13.6</x:v>
      </x:c>
      <x:c r="L29" s="252" t="n">
        <x:v>40.8</x:v>
      </x:c>
    </x:row>
    <x:row r="30">
      <x:c r="A30" s="251" t="str">
        <x:v>PREENCHIDO</x:v>
      </x:c>
      <x:c r="B30" s="251" t="n">
        <x:v>32</x:v>
      </x:c>
      <x:c r="C30" s="251" t="n">
        <x:v>29</x:v>
      </x:c>
      <x:c r="D30" s="251" t="str">
        <x:v>Chave de fenda 150 x 6 mm, com cobertura isolada para 1kV</x:v>
      </x:c>
      <x:c r="E30" s="251" t="n">
        <x:v>3</x:v>
      </x:c>
      <x:c r="F30" s="252" t="n">
        <x:v>21</x:v>
      </x:c>
      <x:c r="G30" s="251" t="str">
        <x:v>27</x:v>
      </x:c>
      <x:c r="H30" s="251" t="str">
        <x:v>Chave fenda cabo e haste isolada 1000V - 1/4x6 (6x150) Grande - Tramontina PRO</x:v>
      </x:c>
      <x:c r="I30" s="251" t="str">
        <x:v>PC</x:v>
      </x:c>
      <x:c r="J30" s="251" t="n">
        <x:v>3</x:v>
      </x:c>
      <x:c r="K30" s="252" t="n">
        <x:v>21</x:v>
      </x:c>
      <x:c r="L30" s="252" t="n">
        <x:v>63</x:v>
      </x:c>
    </x:row>
    <x:row r="31">
      <x:c r="A31" s="251" t="str">
        <x:v>PREENCHIDO</x:v>
      </x:c>
      <x:c r="B31" s="251" t="n">
        <x:v>33</x:v>
      </x:c>
      <x:c r="C31" s="251" t="n">
        <x:v>30</x:v>
      </x:c>
      <x:c r="D31" s="251" t="str">
        <x:v>Chave de fenda 150 x 8 mm, com cobertura isolada para 1kV</x:v>
      </x:c>
      <x:c r="E31" s="251" t="n">
        <x:v>3</x:v>
      </x:c>
      <x:c r="F31" s="252" t="n">
        <x:v>27.2</x:v>
      </x:c>
      <x:c r="G31" s="251" t="str">
        <x:v>28</x:v>
      </x:c>
      <x:c r="H31" s="251" t="str">
        <x:v>Chave fenda cabo e haste isolada 1000V - 5/16x8 (8x200) Extra Grande - Tramontina PRO</x:v>
      </x:c>
      <x:c r="I31" s="251" t="str">
        <x:v>PC</x:v>
      </x:c>
      <x:c r="J31" s="251" t="n">
        <x:v>3</x:v>
      </x:c>
      <x:c r="K31" s="252" t="n">
        <x:v>27.2</x:v>
      </x:c>
      <x:c r="L31" s="252" t="n">
        <x:v>81.6</x:v>
      </x:c>
    </x:row>
    <x:row r="32">
      <x:c r="A32" s="251" t="str">
        <x:v>NÃO PREENCHIDO - sem correspondente seguro</x:v>
      </x:c>
      <x:c r="B32" s="251" t="n">
        <x:v>34</x:v>
      </x:c>
      <x:c r="C32" s="251" t="n">
        <x:v>31</x:v>
      </x:c>
      <x:c r="D32" s="251" t="str">
        <x:v>Chave estrela 24 x 26 mm, com cobertura isolada para 1kV</x:v>
      </x:c>
      <x:c r="E32" s="251" t="n">
        <x:v>2</x:v>
      </x:c>
      <x:c r="F32" s="252"/>
      <x:c r="G32" s="251" t="str"/>
      <x:c r="H32" s="251" t="str"/>
      <x:c r="I32" s="251" t="str"/>
      <x:c r="J32" s="251" t="str"/>
      <x:c r="K32" s="252" t="str"/>
      <x:c r="L32" s="252" t="str"/>
    </x:row>
    <x:row r="33">
      <x:c r="A33" s="251" t="str">
        <x:v>PREENCHIDO</x:v>
      </x:c>
      <x:c r="B33" s="251" t="n">
        <x:v>35</x:v>
      </x:c>
      <x:c r="C33" s="251" t="n">
        <x:v>32</x:v>
      </x:c>
      <x:c r="D33" s="251" t="str">
        <x:v>Chave inglesa 300 mm, com cobertura isolada para 1kV</x:v>
      </x:c>
      <x:c r="E33" s="251" t="n">
        <x:v>2</x:v>
      </x:c>
      <x:c r="F33" s="252" t="n">
        <x:v>170</x:v>
      </x:c>
      <x:c r="G33" s="251" t="str">
        <x:v>29</x:v>
      </x:c>
      <x:c r="H33" s="251" t="str">
        <x:v>Chave ajustável isolada 1000V tamanho 12" em aço CR-V com limitador e teste atual</x:v>
      </x:c>
      <x:c r="I33" s="251" t="str">
        <x:v>PC</x:v>
      </x:c>
      <x:c r="J33" s="251" t="n">
        <x:v>2</x:v>
      </x:c>
      <x:c r="K33" s="252" t="n">
        <x:v>170</x:v>
      </x:c>
      <x:c r="L33" s="252" t="n">
        <x:v>340</x:v>
      </x:c>
    </x:row>
    <x:row r="34">
      <x:c r="A34" s="251" t="str">
        <x:v>PREENCHIDO</x:v>
      </x:c>
      <x:c r="B34" s="251" t="n">
        <x:v>36</x:v>
      </x:c>
      <x:c r="C34" s="251" t="n">
        <x:v>33</x:v>
      </x:c>
      <x:c r="D34" s="251" t="str">
        <x:v>Cinta de poliester 2000kg linha viva</x:v>
      </x:c>
      <x:c r="E34" s="251" t="n">
        <x:v>1</x:v>
      </x:c>
      <x:c r="F34" s="252" t="n">
        <x:v>190</x:v>
      </x:c>
      <x:c r="G34" s="251" t="str">
        <x:v>30</x:v>
      </x:c>
      <x:c r="H34" s="251" t="str">
        <x:v>Cinta de poliéster eslinga anel tubular capa tripla cor verde 2.000 Kg - Vertical comp. 1,40m</x:v>
      </x:c>
      <x:c r="I34" s="251" t="str">
        <x:v>PC</x:v>
      </x:c>
      <x:c r="J34" s="251" t="n">
        <x:v>1</x:v>
      </x:c>
      <x:c r="K34" s="252" t="n">
        <x:v>190</x:v>
      </x:c>
      <x:c r="L34" s="252" t="n">
        <x:v>190</x:v>
      </x:c>
    </x:row>
    <x:row r="35">
      <x:c r="A35" s="251" t="str">
        <x:v>PREENCHIDO - revisar unidade</x:v>
      </x:c>
      <x:c r="B35" s="251" t="n">
        <x:v>37</x:v>
      </x:c>
      <x:c r="C35" s="251" t="n">
        <x:v>34</x:v>
      </x:c>
      <x:c r="D35" s="251" t="str">
        <x:v>Cinta para mão francesa – diâmetro 64mm</x:v>
      </x:c>
      <x:c r="E35" s="251" t="n">
        <x:v>1</x:v>
      </x:c>
      <x:c r="F35" s="252" t="n">
        <x:v>277</x:v>
      </x:c>
      <x:c r="G35" s="251" t="str">
        <x:v>31</x:v>
      </x:c>
      <x:c r="H35" s="251" t="str">
        <x:v>Cinta para mão francesa 64mm para LV</x:v>
      </x:c>
      <x:c r="I35" s="251" t="str">
        <x:v>PC</x:v>
      </x:c>
      <x:c r="J35" s="251" t="n">
        <x:v>1</x:v>
      </x:c>
      <x:c r="K35" s="252" t="n">
        <x:v>277</x:v>
      </x:c>
      <x:c r="L35" s="252" t="n">
        <x:v>277</x:v>
      </x:c>
    </x:row>
    <x:row r="36">
      <x:c r="A36" s="251" t="str">
        <x:v>NÃO PREENCHIDO - sem correspondente seguro</x:v>
      </x:c>
      <x:c r="B36" s="251" t="n">
        <x:v>38</x:v>
      </x:c>
      <x:c r="C36" s="251" t="n">
        <x:v>35</x:v>
      </x:c>
      <x:c r="D36" s="251" t="str">
        <x:v>Corda de fibra sintética de polipropileno torcida 10mm (metros)</x:v>
      </x:c>
      <x:c r="E36" s="251" t="n">
        <x:v>30</x:v>
      </x:c>
      <x:c r="F36" s="252"/>
      <x:c r="G36" s="251" t="str"/>
      <x:c r="H36" s="251" t="str"/>
      <x:c r="I36" s="251" t="str"/>
      <x:c r="J36" s="251" t="str"/>
      <x:c r="K36" s="252" t="str"/>
      <x:c r="L36" s="252" t="str"/>
    </x:row>
    <x:row r="37">
      <x:c r="A37" s="251" t="str">
        <x:v>PREENCHIDO - revisar unidade</x:v>
      </x:c>
      <x:c r="B37" s="251" t="n">
        <x:v>39</x:v>
      </x:c>
      <x:c r="C37" s="251" t="n">
        <x:v>36</x:v>
      </x:c>
      <x:c r="D37" s="251" t="str">
        <x:v>Corda de fibra sintética de polipropileno torcida 12mm (metros)</x:v>
      </x:c>
      <x:c r="E37" s="251" t="n">
        <x:v>90</x:v>
      </x:c>
      <x:c r="F37" s="252" t="n">
        <x:v>255</x:v>
      </x:c>
      <x:c r="G37" s="251" t="str">
        <x:v>32</x:v>
      </x:c>
      <x:c r="H37" s="251" t="str">
        <x:v>Corda Torcida PP - Polipropileno 12mm branca rolo com 50mt</x:v>
      </x:c>
      <x:c r="I37" s="251" t="str">
        <x:v>RL</x:v>
      </x:c>
      <x:c r="J37" s="251" t="n">
        <x:v>2</x:v>
      </x:c>
      <x:c r="K37" s="252" t="n">
        <x:v>255</x:v>
      </x:c>
      <x:c r="L37" s="252" t="n">
        <x:v>510</x:v>
      </x:c>
    </x:row>
    <x:row r="38">
      <x:c r="A38" s="251" t="str">
        <x:v>PREENCHIDO</x:v>
      </x:c>
      <x:c r="B38" s="251" t="n">
        <x:v>40</x:v>
      </x:c>
      <x:c r="C38" s="251" t="n">
        <x:v>37</x:v>
      </x:c>
      <x:c r="D38" s="251" t="str">
        <x:v>Corda de fibra sintética de polipropileno torcida 6mm para cobertura LV (metros)</x:v>
      </x:c>
      <x:c r="E38" s="251" t="n">
        <x:v>10</x:v>
      </x:c>
      <x:c r="F38" s="252" t="n">
        <x:v>2.2</x:v>
      </x:c>
      <x:c r="G38" s="251" t="str">
        <x:v>33</x:v>
      </x:c>
      <x:c r="H38" s="251" t="str">
        <x:v>Corda Torcida PP - Polipropileno 6mm branca</x:v>
      </x:c>
      <x:c r="I38" s="251" t="str">
        <x:v>MT</x:v>
      </x:c>
      <x:c r="J38" s="251" t="n">
        <x:v>10</x:v>
      </x:c>
      <x:c r="K38" s="252" t="n">
        <x:v>2.2</x:v>
      </x:c>
      <x:c r="L38" s="252" t="n">
        <x:v>22</x:v>
      </x:c>
    </x:row>
    <x:row r="39">
      <x:c r="A39" s="251" t="str">
        <x:v>PREENCHIDO</x:v>
      </x:c>
      <x:c r="B39" s="251" t="n">
        <x:v>41</x:v>
      </x:c>
      <x:c r="C39" s="251" t="n">
        <x:v>38</x:v>
      </x:c>
      <x:c r="D39" s="251" t="str">
        <x:v>Corda de sinalização 6mm</x:v>
      </x:c>
      <x:c r="E39" s="251" t="n">
        <x:v>60</x:v>
      </x:c>
      <x:c r="F39" s="252" t="n">
        <x:v>2.2</x:v>
      </x:c>
      <x:c r="G39" s="251" t="str">
        <x:v>33</x:v>
      </x:c>
      <x:c r="H39" s="251" t="str">
        <x:v>Corda Torcida PP - Polipropileno 6mm branca</x:v>
      </x:c>
      <x:c r="I39" s="251" t="str">
        <x:v>MT</x:v>
      </x:c>
      <x:c r="J39" s="251" t="n">
        <x:v>10</x:v>
      </x:c>
      <x:c r="K39" s="252" t="n">
        <x:v>2.2</x:v>
      </x:c>
      <x:c r="L39" s="252" t="n">
        <x:v>22</x:v>
      </x:c>
    </x:row>
    <x:row r="40">
      <x:c r="A40" s="251" t="str">
        <x:v>PREENCHIDO</x:v>
      </x:c>
      <x:c r="B40" s="251" t="n">
        <x:v>42</x:v>
      </x:c>
      <x:c r="C40" s="251" t="n">
        <x:v>39</x:v>
      </x:c>
      <x:c r="D40" s="251" t="str">
        <x:v>Cruzeta auxiliar sem mastro 64 x 2410 mm</x:v>
      </x:c>
      <x:c r="E40" s="251" t="n">
        <x:v>1</x:v>
      </x:c>
      <x:c r="F40" s="252" t="n">
        <x:v>4350</x:v>
      </x:c>
      <x:c r="G40" s="251" t="str">
        <x:v>34</x:v>
      </x:c>
      <x:c r="H40" s="251" t="str">
        <x:v>Bastão cruzeta 64mm x 2,39m para LV</x:v>
      </x:c>
      <x:c r="I40" s="251" t="str">
        <x:v>PC</x:v>
      </x:c>
      <x:c r="J40" s="251" t="n">
        <x:v>1</x:v>
      </x:c>
      <x:c r="K40" s="252" t="n">
        <x:v>4350</x:v>
      </x:c>
      <x:c r="L40" s="252" t="n">
        <x:v>4350</x:v>
      </x:c>
    </x:row>
    <x:row r="41">
      <x:c r="A41" s="251" t="str">
        <x:v>NÃO PREENCHIDO - sem correspondente seguro</x:v>
      </x:c>
      <x:c r="B41" s="251" t="n">
        <x:v>43</x:v>
      </x:c>
      <x:c r="C41" s="251" t="n">
        <x:v>40</x:v>
      </x:c>
      <x:c r="D41" s="251" t="str">
        <x:v>Descascador de meio e ponta CABO PROTEGIDO 15 KV</x:v>
      </x:c>
      <x:c r="E41" s="251" t="n">
        <x:v>1</x:v>
      </x:c>
      <x:c r="F41" s="252"/>
      <x:c r="G41" s="251" t="str"/>
      <x:c r="H41" s="251" t="str"/>
      <x:c r="I41" s="251" t="str"/>
      <x:c r="J41" s="251" t="str"/>
      <x:c r="K41" s="252" t="str"/>
      <x:c r="L41" s="252" t="str"/>
    </x:row>
    <x:row r="42">
      <x:c r="A42" s="251" t="str">
        <x:v>NÃO PREENCHIDO - sem correspondente seguro</x:v>
      </x:c>
      <x:c r="B42" s="251" t="n">
        <x:v>44</x:v>
      </x:c>
      <x:c r="C42" s="251" t="n">
        <x:v>41</x:v>
      </x:c>
      <x:c r="D42" s="251" t="str">
        <x:v>Descascador de meio e ponta CABO PROTEGIDO 35 KV</x:v>
      </x:c>
      <x:c r="E42" s="251" t="n">
        <x:v>1</x:v>
      </x:c>
      <x:c r="F42" s="252"/>
      <x:c r="G42" s="251" t="str"/>
      <x:c r="H42" s="251" t="str"/>
      <x:c r="I42" s="251" t="str"/>
      <x:c r="J42" s="251" t="str"/>
      <x:c r="K42" s="252" t="str"/>
      <x:c r="L42" s="252" t="str"/>
    </x:row>
    <x:row r="43">
      <x:c r="A43" s="251" t="str">
        <x:v>PREENCHIDO</x:v>
      </x:c>
      <x:c r="B43" s="251" t="n">
        <x:v>45</x:v>
      </x:c>
      <x:c r="C43" s="251" t="n">
        <x:v>42</x:v>
      </x:c>
      <x:c r="D43" s="251" t="str">
        <x:v>Dispositivo de segurança anti queda do porta fusível - DAQC</x:v>
      </x:c>
      <x:c r="E43" s="251" t="n">
        <x:v>1</x:v>
      </x:c>
      <x:c r="F43" s="252" t="n">
        <x:v>148</x:v>
      </x:c>
      <x:c r="G43" s="251" t="str">
        <x:v>35</x:v>
      </x:c>
      <x:c r="H43" s="251" t="str">
        <x:v>Cabeçote anti-queda de cartucho com encaixe universal - DAQC</x:v>
      </x:c>
      <x:c r="I43" s="251" t="str">
        <x:v>PC</x:v>
      </x:c>
      <x:c r="J43" s="251" t="n">
        <x:v>1</x:v>
      </x:c>
      <x:c r="K43" s="252" t="n">
        <x:v>148</x:v>
      </x:c>
      <x:c r="L43" s="252" t="n">
        <x:v>148</x:v>
      </x:c>
    </x:row>
    <x:row r="44">
      <x:c r="A44" s="251" t="str">
        <x:v>NÃO PREENCHIDO - sem correspondente seguro</x:v>
      </x:c>
      <x:c r="B44" s="251" t="n">
        <x:v>46</x:v>
      </x:c>
      <x:c r="C44" s="251" t="n">
        <x:v>43</x:v>
      </x:c>
      <x:c r="D44" s="251" t="str">
        <x:v>Escada extensível de madeira ou fibra de vidro 4,00 x 7,00 m ETS 1029 ou 1030</x:v>
      </x:c>
      <x:c r="E44" s="251" t="n">
        <x:v>1</x:v>
      </x:c>
      <x:c r="F44" s="252"/>
      <x:c r="G44" s="251" t="str"/>
      <x:c r="H44" s="251" t="str"/>
      <x:c r="I44" s="251" t="str"/>
      <x:c r="J44" s="251" t="str"/>
      <x:c r="K44" s="252" t="str"/>
      <x:c r="L44" s="252" t="str"/>
    </x:row>
    <x:row r="45">
      <x:c r="A45" s="251" t="str">
        <x:v>PREENCHIDO</x:v>
      </x:c>
      <x:c r="B45" s="251" t="n">
        <x:v>47</x:v>
      </x:c>
      <x:c r="C45" s="251" t="n">
        <x:v>44</x:v>
      </x:c>
      <x:c r="D45" s="251" t="str">
        <x:v>Escova de aço em V para limpeza de cabos</x:v>
      </x:c>
      <x:c r="E45" s="251" t="n">
        <x:v>2</x:v>
      </x:c>
      <x:c r="F45" s="252" t="n">
        <x:v>180</x:v>
      </x:c>
      <x:c r="G45" s="251" t="str">
        <x:v>36</x:v>
      </x:c>
      <x:c r="H45" s="251" t="str">
        <x:v>Escova de aço em V cabo de alumínio isolado</x:v>
      </x:c>
      <x:c r="I45" s="251" t="str">
        <x:v>PC</x:v>
      </x:c>
      <x:c r="J45" s="251" t="n">
        <x:v>2</x:v>
      </x:c>
      <x:c r="K45" s="252" t="n">
        <x:v>180</x:v>
      </x:c>
      <x:c r="L45" s="252" t="n">
        <x:v>360</x:v>
      </x:c>
    </x:row>
    <x:row r="46">
      <x:c r="A46" s="251" t="str">
        <x:v>PREENCHIDO</x:v>
      </x:c>
      <x:c r="B46" s="251" t="n">
        <x:v>48</x:v>
      </x:c>
      <x:c r="C46" s="251" t="n">
        <x:v>45</x:v>
      </x:c>
      <x:c r="D46" s="251" t="str">
        <x:v>Esticador de cabo 4 a 3/0 AWG</x:v>
      </x:c>
      <x:c r="E46" s="251" t="n">
        <x:v>3</x:v>
      </x:c>
      <x:c r="F46" s="252" t="n">
        <x:v>325</x:v>
      </x:c>
      <x:c r="G46" s="251" t="str">
        <x:v>37</x:v>
      </x:c>
      <x:c r="H46" s="251" t="str">
        <x:v>Esticador para cabo de alumínio 5,88mm até 11,35mm para LV - PADRÃO COPEL</x:v>
      </x:c>
      <x:c r="I46" s="251" t="str">
        <x:v>PC</x:v>
      </x:c>
      <x:c r="J46" s="251" t="n">
        <x:v>3</x:v>
      </x:c>
      <x:c r="K46" s="252" t="n">
        <x:v>325</x:v>
      </x:c>
      <x:c r="L46" s="252" t="n">
        <x:v>975</x:v>
      </x:c>
    </x:row>
    <x:row r="47">
      <x:c r="A47" s="251" t="str">
        <x:v>PREENCHIDO</x:v>
      </x:c>
      <x:c r="B47" s="251" t="n">
        <x:v>49</x:v>
      </x:c>
      <x:c r="C47" s="251" t="n">
        <x:v>46</x:v>
      </x:c>
      <x:c r="D47" s="251" t="str">
        <x:v>Esticador de cabo 4/0 a 477 </x:v>
      </x:c>
      <x:c r="E47" s="251" t="n">
        <x:v>3</x:v>
      </x:c>
      <x:c r="F47" s="252" t="n">
        <x:v>610</x:v>
      </x:c>
      <x:c r="G47" s="251" t="str">
        <x:v>38</x:v>
      </x:c>
      <x:c r="H47" s="251" t="str">
        <x:v>Esticador para cabo de alumínio 10,5mm até 18,29 mm para LV - PADRÃO COPEL</x:v>
      </x:c>
      <x:c r="I47" s="251" t="str">
        <x:v>PC</x:v>
      </x:c>
      <x:c r="J47" s="251" t="n">
        <x:v>3</x:v>
      </x:c>
      <x:c r="K47" s="252" t="n">
        <x:v>610</x:v>
      </x:c>
      <x:c r="L47" s="252" t="n">
        <x:v>1830</x:v>
      </x:c>
    </x:row>
    <x:row r="48">
      <x:c r="A48" s="251" t="str">
        <x:v>PREENCHIDO</x:v>
      </x:c>
      <x:c r="B48" s="251" t="n">
        <x:v>50</x:v>
      </x:c>
      <x:c r="C48" s="251" t="n">
        <x:v>47</x:v>
      </x:c>
      <x:c r="D48" s="251" t="str">
        <x:v>Esticador de cordoalha de aço de 6 a 9 mm</x:v>
      </x:c>
      <x:c r="E48" s="251" t="n">
        <x:v>2</x:v>
      </x:c>
      <x:c r="F48" s="252" t="n">
        <x:v>188</x:v>
      </x:c>
      <x:c r="G48" s="251" t="str">
        <x:v>39</x:v>
      </x:c>
      <x:c r="H48" s="251" t="str">
        <x:v>Esticador meia lua para cabo de aço 3,18mm até 12,70mm</x:v>
      </x:c>
      <x:c r="I48" s="251" t="str">
        <x:v>PC</x:v>
      </x:c>
      <x:c r="J48" s="251" t="n">
        <x:v>2</x:v>
      </x:c>
      <x:c r="K48" s="252" t="n">
        <x:v>188</x:v>
      </x:c>
      <x:c r="L48" s="252" t="n">
        <x:v>376</x:v>
      </x:c>
    </x:row>
    <x:row r="49">
      <x:c r="A49" s="251" t="str">
        <x:v>NÃO PREENCHIDO - sem correspondente seguro</x:v>
      </x:c>
      <x:c r="B49" s="251" t="n">
        <x:v>51</x:v>
      </x:c>
      <x:c r="C49" s="251" t="n">
        <x:v>48</x:v>
      </x:c>
      <x:c r="D49" s="251" t="str">
        <x:v>Estojo para matrizes, Y-35 e MD-6</x:v>
      </x:c>
      <x:c r="E49" s="251" t="n">
        <x:v>1</x:v>
      </x:c>
      <x:c r="F49" s="252"/>
      <x:c r="G49" s="251" t="str"/>
      <x:c r="H49" s="251" t="str"/>
      <x:c r="I49" s="251" t="str"/>
      <x:c r="J49" s="251" t="str"/>
      <x:c r="K49" s="252" t="str"/>
      <x:c r="L49" s="252" t="str"/>
    </x:row>
    <x:row r="50">
      <x:c r="A50" s="251" t="str">
        <x:v>PREENCHIDO</x:v>
      </x:c>
      <x:c r="B50" s="251" t="n">
        <x:v>52</x:v>
      </x:c>
      <x:c r="C50" s="251" t="n">
        <x:v>49</x:v>
      </x:c>
      <x:c r="D50" s="251" t="str">
        <x:v>Estribo para mão francesa</x:v>
      </x:c>
      <x:c r="E50" s="251" t="n">
        <x:v>1</x:v>
      </x:c>
      <x:c r="F50" s="252" t="n">
        <x:v>239</x:v>
      </x:c>
      <x:c r="G50" s="251" t="str">
        <x:v>40</x:v>
      </x:c>
      <x:c r="H50" s="251" t="str">
        <x:v>Estribo para mão francesa para</x:v>
      </x:c>
      <x:c r="I50" s="251" t="str">
        <x:v>PC</x:v>
      </x:c>
      <x:c r="J50" s="251" t="n">
        <x:v>1</x:v>
      </x:c>
      <x:c r="K50" s="252" t="n">
        <x:v>239</x:v>
      </x:c>
      <x:c r="L50" s="252" t="n">
        <x:v>239</x:v>
      </x:c>
    </x:row>
    <x:row r="51">
      <x:c r="A51" s="251" t="str">
        <x:v>PREENCHIDO</x:v>
      </x:c>
      <x:c r="B51" s="251" t="n">
        <x:v>53</x:v>
      </x:c>
      <x:c r="C51" s="251" t="n">
        <x:v>50</x:v>
      </x:c>
      <x:c r="D51" s="251" t="str">
        <x:v>Estropo de nylon 500 mm – 455 daN</x:v>
      </x:c>
      <x:c r="E51" s="251" t="n">
        <x:v>3</x:v>
      </x:c>
      <x:c r="F51" s="252" t="n">
        <x:v>115</x:v>
      </x:c>
      <x:c r="G51" s="251" t="str">
        <x:v>42</x:v>
      </x:c>
      <x:c r="H51" s="251" t="str">
        <x:v>Estropo de nylon 50mmx500mm - 670 Dan</x:v>
      </x:c>
      <x:c r="I51" s="251" t="str">
        <x:v>PC</x:v>
      </x:c>
      <x:c r="J51" s="251" t="n">
        <x:v>3</x:v>
      </x:c>
      <x:c r="K51" s="252" t="n">
        <x:v>115</x:v>
      </x:c>
      <x:c r="L51" s="252" t="n">
        <x:v>345</x:v>
      </x:c>
    </x:row>
    <x:row r="52">
      <x:c r="A52" s="251" t="str">
        <x:v>PREENCHIDO</x:v>
      </x:c>
      <x:c r="B52" s="251" t="n">
        <x:v>54</x:v>
      </x:c>
      <x:c r="C52" s="251" t="n">
        <x:v>51</x:v>
      </x:c>
      <x:c r="D52" s="251" t="str">
        <x:v>Estropo de nylon 800mm</x:v>
      </x:c>
      <x:c r="E52" s="251" t="n">
        <x:v>3</x:v>
      </x:c>
      <x:c r="F52" s="252" t="n">
        <x:v>139</x:v>
      </x:c>
      <x:c r="G52" s="251" t="str">
        <x:v>41</x:v>
      </x:c>
      <x:c r="H52" s="251" t="str">
        <x:v>Estropo de nylon 50mmx800mm - 670 Dan</x:v>
      </x:c>
      <x:c r="I52" s="251" t="str">
        <x:v>PC</x:v>
      </x:c>
      <x:c r="J52" s="251" t="n">
        <x:v>3</x:v>
      </x:c>
      <x:c r="K52" s="252" t="n">
        <x:v>139</x:v>
      </x:c>
      <x:c r="L52" s="252" t="n">
        <x:v>417</x:v>
      </x:c>
    </x:row>
    <x:row r="53">
      <x:c r="A53" s="251" t="str">
        <x:v>PREENCHIDO</x:v>
      </x:c>
      <x:c r="B53" s="251" t="n">
        <x:v>55</x:v>
      </x:c>
      <x:c r="C53" s="251" t="n">
        <x:v>52</x:v>
      </x:c>
      <x:c r="D53" s="251" t="str">
        <x:v>Gancho para corda</x:v>
      </x:c>
      <x:c r="E53" s="251" t="n">
        <x:v>1</x:v>
      </x:c>
      <x:c r="F53" s="252" t="n">
        <x:v>58</x:v>
      </x:c>
      <x:c r="G53" s="251" t="str">
        <x:v>43</x:v>
      </x:c>
      <x:c r="H53" s="251" t="str">
        <x:v>Gancho em aço para içamento</x:v>
      </x:c>
      <x:c r="I53" s="251" t="str">
        <x:v>PC</x:v>
      </x:c>
      <x:c r="J53" s="251" t="n">
        <x:v>1</x:v>
      </x:c>
      <x:c r="K53" s="252" t="n">
        <x:v>58</x:v>
      </x:c>
      <x:c r="L53" s="252" t="n">
        <x:v>58</x:v>
      </x:c>
    </x:row>
    <x:row r="54">
      <x:c r="A54" s="251" t="str">
        <x:v>PREENCHIDO</x:v>
      </x:c>
      <x:c r="B54" s="251" t="n">
        <x:v>56</x:v>
      </x:c>
      <x:c r="C54" s="251" t="n">
        <x:v>53</x:v>
      </x:c>
      <x:c r="D54" s="251" t="str">
        <x:v>Grampo de torção para “by-pass”</x:v>
      </x:c>
      <x:c r="E54" s="251" t="n">
        <x:v>6</x:v>
      </x:c>
      <x:c r="F54" s="252" t="n">
        <x:v>155</x:v>
      </x:c>
      <x:c r="G54" s="251" t="str">
        <x:v>44</x:v>
      </x:c>
      <x:c r="H54" s="251" t="str">
        <x:v>Grampo de torção e mola para by-pass em LV</x:v>
      </x:c>
      <x:c r="I54" s="251" t="str">
        <x:v>PC</x:v>
      </x:c>
      <x:c r="J54" s="251" t="n">
        <x:v>6</x:v>
      </x:c>
      <x:c r="K54" s="252" t="n">
        <x:v>155</x:v>
      </x:c>
      <x:c r="L54" s="252" t="n">
        <x:v>930</x:v>
      </x:c>
    </x:row>
    <x:row r="55">
      <x:c r="A55" s="251" t="str">
        <x:v>PREENCHIDO</x:v>
      </x:c>
      <x:c r="B55" s="251" t="n">
        <x:v>57</x:v>
      </x:c>
      <x:c r="C55" s="251" t="n">
        <x:v>54</x:v>
      </x:c>
      <x:c r="D55" s="251" t="str">
        <x:v>Grampo isolado para “by-pass”</x:v>
      </x:c>
      <x:c r="E55" s="251" t="n">
        <x:v>6</x:v>
      </x:c>
      <x:c r="F55" s="252" t="n">
        <x:v>490</x:v>
      </x:c>
      <x:c r="G55" s="251" t="str">
        <x:v>45</x:v>
      </x:c>
      <x:c r="H55" s="251" t="str">
        <x:v>Grampo isolado 35kv cor transparente para by-pass em LV</x:v>
      </x:c>
      <x:c r="I55" s="251" t="str">
        <x:v>PC</x:v>
      </x:c>
      <x:c r="J55" s="251" t="n">
        <x:v>6</x:v>
      </x:c>
      <x:c r="K55" s="252" t="n">
        <x:v>490</x:v>
      </x:c>
      <x:c r="L55" s="252" t="n">
        <x:v>2940</x:v>
      </x:c>
    </x:row>
    <x:row r="56">
      <x:c r="A56" s="251" t="str">
        <x:v>PREENCHIDO</x:v>
      </x:c>
      <x:c r="B56" s="251" t="n">
        <x:v>58</x:v>
      </x:c>
      <x:c r="C56" s="251" t="n">
        <x:v>55</x:v>
      </x:c>
      <x:c r="D56" s="251" t="str">
        <x:v>Içador isolado com cabeçote giratório</x:v>
      </x:c>
      <x:c r="E56" s="251" t="n">
        <x:v>1</x:v>
      </x:c>
      <x:c r="F56" s="252" t="n">
        <x:v>7310</x:v>
      </x:c>
      <x:c r="G56" s="251" t="str">
        <x:v>46</x:v>
      </x:c>
      <x:c r="H56" s="251" t="str">
        <x:v>Mastro para içamento de carga 64mm x 1,83m completo para LV</x:v>
      </x:c>
      <x:c r="I56" s="251" t="str">
        <x:v>PC</x:v>
      </x:c>
      <x:c r="J56" s="251" t="n">
        <x:v>1</x:v>
      </x:c>
      <x:c r="K56" s="252" t="n">
        <x:v>7310</x:v>
      </x:c>
      <x:c r="L56" s="252" t="n">
        <x:v>7310</x:v>
      </x:c>
    </x:row>
    <x:row r="57">
      <x:c r="A57" s="251" t="str">
        <x:v>PREENCHIDO</x:v>
      </x:c>
      <x:c r="B57" s="251" t="n">
        <x:v>59</x:v>
      </x:c>
      <x:c r="C57" s="251" t="n">
        <x:v>56</x:v>
      </x:c>
      <x:c r="D57" s="251" t="str">
        <x:v>Inflador de luvas</x:v>
      </x:c>
      <x:c r="E57" s="251" t="n">
        <x:v>1</x:v>
      </x:c>
      <x:c r="F57" s="252" t="n">
        <x:v>1460</x:v>
      </x:c>
      <x:c r="G57" s="251" t="str">
        <x:v>47</x:v>
      </x:c>
      <x:c r="H57" s="251" t="str">
        <x:v>Inflador de luvas modelo leve para LV</x:v>
      </x:c>
      <x:c r="I57" s="251" t="str">
        <x:v>PC</x:v>
      </x:c>
      <x:c r="J57" s="251" t="n">
        <x:v>1</x:v>
      </x:c>
      <x:c r="K57" s="252" t="n">
        <x:v>1460</x:v>
      </x:c>
      <x:c r="L57" s="252" t="n">
        <x:v>1460</x:v>
      </x:c>
    </x:row>
    <x:row r="58">
      <x:c r="A58" s="251" t="str">
        <x:v>NÃO PREENCHIDO - sem correspondente seguro</x:v>
      </x:c>
      <x:c r="B58" s="251" t="n">
        <x:v>60</x:v>
      </x:c>
      <x:c r="C58" s="251" t="n">
        <x:v>57</x:v>
      </x:c>
      <x:c r="D58" s="251" t="str">
        <x:v>Jogo com soquetes de 12 a 28 mm </x:v>
      </x:c>
      <x:c r="E58" s="251" t="n">
        <x:v>1</x:v>
      </x:c>
      <x:c r="F58" s="252"/>
      <x:c r="G58" s="251" t="str"/>
      <x:c r="H58" s="251" t="str"/>
      <x:c r="I58" s="251" t="str"/>
      <x:c r="J58" s="251" t="str"/>
      <x:c r="K58" s="252" t="str"/>
      <x:c r="L58" s="252" t="str"/>
    </x:row>
    <x:row r="59">
      <x:c r="A59" s="251" t="str">
        <x:v>PREENCHIDO</x:v>
      </x:c>
      <x:c r="B59" s="251" t="n">
        <x:v>61</x:v>
      </x:c>
      <x:c r="C59" s="251" t="n">
        <x:v>58</x:v>
      </x:c>
      <x:c r="D59" s="251" t="str">
        <x:v>Jumper “Little Jumper” para bucha de transformador Composição do Jumper por unidade  3,5 m Cabo Protegido para 15Kv  1 Grampo para bucha de transformador  1 Grampo de Torção  1 Suporte Isolado</x:v>
      </x:c>
      <x:c r="E59" s="251" t="n">
        <x:v>3</x:v>
      </x:c>
      <x:c r="F59" s="252" t="n">
        <x:v>2450</x:v>
      </x:c>
      <x:c r="G59" s="251" t="str">
        <x:v>48</x:v>
      </x:c>
      <x:c r="H59" s="251" t="str">
        <x:v>Jampe temporário para bucha de transformador cabo isolado 15Kv</x:v>
      </x:c>
      <x:c r="I59" s="251" t="str">
        <x:v>PC</x:v>
      </x:c>
      <x:c r="J59" s="251" t="n">
        <x:v>3</x:v>
      </x:c>
      <x:c r="K59" s="252" t="n">
        <x:v>2450</x:v>
      </x:c>
      <x:c r="L59" s="252" t="n">
        <x:v>7350</x:v>
      </x:c>
    </x:row>
    <x:row r="60">
      <x:c r="A60" s="251" t="str">
        <x:v>PREENCHIDO</x:v>
      </x:c>
      <x:c r="B60" s="251" t="n">
        <x:v>62</x:v>
      </x:c>
      <x:c r="C60" s="251" t="n">
        <x:v>59</x:v>
      </x:c>
      <x:c r="D60" s="251" t="str">
        <x:v>Kit de ferramenta para instalação do conector tipo cunha</x:v>
      </x:c>
      <x:c r="E60" s="251" t="n">
        <x:v>1</x:v>
      </x:c>
      <x:c r="F60" s="252" t="n">
        <x:v>2150</x:v>
      </x:c>
      <x:c r="G60" s="251" t="str">
        <x:v>49</x:v>
      </x:c>
      <x:c r="H60" s="251" t="str">
        <x:v>Ferramenta para conector cunha tipo pequena ( 1 cabeçote )</x:v>
      </x:c>
      <x:c r="I60" s="251" t="str">
        <x:v>PC</x:v>
      </x:c>
      <x:c r="J60" s="251" t="n">
        <x:v>1</x:v>
      </x:c>
      <x:c r="K60" s="252" t="n">
        <x:v>2150</x:v>
      </x:c>
      <x:c r="L60" s="252" t="n">
        <x:v>2150</x:v>
      </x:c>
    </x:row>
    <x:row r="61">
      <x:c r="A61" s="251" t="str">
        <x:v>PREENCHIDO</x:v>
      </x:c>
      <x:c r="B61" s="251" t="n">
        <x:v>63</x:v>
      </x:c>
      <x:c r="C61" s="251" t="n">
        <x:v>60</x:v>
      </x:c>
      <x:c r="D61" s="251" t="str">
        <x:v>Kit para salvamento/resgate em altura conforme especificação técnica COPEL - ETS 1090</x:v>
      </x:c>
      <x:c r="E61" s="251" t="n">
        <x:v>1</x:v>
      </x:c>
      <x:c r="F61" s="252" t="n">
        <x:v>2260</x:v>
      </x:c>
      <x:c r="G61" s="251" t="str">
        <x:v>50</x:v>
      </x:c>
      <x:c r="H61" s="251" t="str">
        <x:v>Kit resgate conforme ETS 1090 - Copel</x:v>
      </x:c>
      <x:c r="I61" s="251" t="str">
        <x:v>PC</x:v>
      </x:c>
      <x:c r="J61" s="251" t="n">
        <x:v>1</x:v>
      </x:c>
      <x:c r="K61" s="252" t="n">
        <x:v>2260</x:v>
      </x:c>
      <x:c r="L61" s="252" t="n">
        <x:v>2260</x:v>
      </x:c>
    </x:row>
    <x:row r="62">
      <x:c r="A62" s="251" t="str">
        <x:v>PREENCHIDO</x:v>
      </x:c>
      <x:c r="B62" s="251" t="n">
        <x:v>64</x:v>
      </x:c>
      <x:c r="C62" s="251" t="n">
        <x:v>61</x:v>
      </x:c>
      <x:c r="D62" s="251" t="str">
        <x:v>Lanterna elétrica manual</x:v>
      </x:c>
      <x:c r="E62" s="251" t="n">
        <x:v>1</x:v>
      </x:c>
      <x:c r="F62" s="252" t="n">
        <x:v>185</x:v>
      </x:c>
      <x:c r="G62" s="251" t="str">
        <x:v>51</x:v>
      </x:c>
      <x:c r="H62" s="251" t="str">
        <x:v>Lanterna recarregável cor preta/verde com 1 LED de 7W de alta potência</x:v>
      </x:c>
      <x:c r="I62" s="251" t="str">
        <x:v>PC</x:v>
      </x:c>
      <x:c r="J62" s="251" t="n">
        <x:v>1</x:v>
      </x:c>
      <x:c r="K62" s="252" t="n">
        <x:v>185</x:v>
      </x:c>
      <x:c r="L62" s="252" t="n">
        <x:v>185</x:v>
      </x:c>
    </x:row>
    <x:row r="63">
      <x:c r="A63" s="251" t="str">
        <x:v>PREENCHIDO</x:v>
      </x:c>
      <x:c r="B63" s="251" t="n">
        <x:v>65</x:v>
      </x:c>
      <x:c r="C63" s="251" t="n">
        <x:v>62</x:v>
      </x:c>
      <x:c r="D63" s="251" t="str">
        <x:v>Lanterna para capacete</x:v>
      </x:c>
      <x:c r="E63" s="251" t="n">
        <x:v>3</x:v>
      </x:c>
      <x:c r="F63" s="252" t="n">
        <x:v>119</x:v>
      </x:c>
      <x:c r="G63" s="251" t="str">
        <x:v>52</x:v>
      </x:c>
      <x:c r="H63" s="251" t="str">
        <x:v>Lanterna de cabeça 1 led 12W recarregável</x:v>
      </x:c>
      <x:c r="I63" s="251" t="str">
        <x:v>PC</x:v>
      </x:c>
      <x:c r="J63" s="251" t="n">
        <x:v>3</x:v>
      </x:c>
      <x:c r="K63" s="252" t="n">
        <x:v>119</x:v>
      </x:c>
      <x:c r="L63" s="252" t="n">
        <x:v>357</x:v>
      </x:c>
    </x:row>
    <x:row r="64">
      <x:c r="A64" s="251" t="str">
        <x:v>PREENCHIDO</x:v>
      </x:c>
      <x:c r="B64" s="251" t="n">
        <x:v>66</x:v>
      </x:c>
      <x:c r="C64" s="251" t="n">
        <x:v>63</x:v>
      </x:c>
      <x:c r="D64" s="251" t="str">
        <x:v>Lima mursa</x:v>
      </x:c>
      <x:c r="E64" s="251" t="n">
        <x:v>1</x:v>
      </x:c>
      <x:c r="F64" s="252" t="n">
        <x:v>22</x:v>
      </x:c>
      <x:c r="G64" s="251" t="str">
        <x:v>53</x:v>
      </x:c>
      <x:c r="H64" s="251" t="str">
        <x:v>Lima chata para enxada tipo murça com cabo 8" -</x:v>
      </x:c>
      <x:c r="I64" s="251" t="str">
        <x:v>PC</x:v>
      </x:c>
      <x:c r="J64" s="251" t="n">
        <x:v>1</x:v>
      </x:c>
      <x:c r="K64" s="252" t="n">
        <x:v>22</x:v>
      </x:c>
      <x:c r="L64" s="252" t="n">
        <x:v>22</x:v>
      </x:c>
    </x:row>
    <x:row r="65">
      <x:c r="A65" s="251" t="str">
        <x:v>PREENCHIDO</x:v>
      </x:c>
      <x:c r="B65" s="251" t="n">
        <x:v>67</x:v>
      </x:c>
      <x:c r="C65" s="251" t="n">
        <x:v>64</x:v>
      </x:c>
      <x:c r="D65" s="251" t="str">
        <x:v>Lona de 300 x 4.000 mm</x:v>
      </x:c>
      <x:c r="E65" s="251" t="n">
        <x:v>1</x:v>
      </x:c>
      <x:c r="F65" s="252" t="n">
        <x:v>440</x:v>
      </x:c>
      <x:c r="G65" s="251" t="str">
        <x:v>54</x:v>
      </x:c>
      <x:c r="H65" s="251" t="str">
        <x:v>Lona vinílica ( PVC 400 micras ) dupla face cor laranja/preto 3m x 4m</x:v>
      </x:c>
      <x:c r="I65" s="251" t="str">
        <x:v>PC</x:v>
      </x:c>
      <x:c r="J65" s="251" t="n">
        <x:v>1</x:v>
      </x:c>
      <x:c r="K65" s="252" t="n">
        <x:v>440</x:v>
      </x:c>
      <x:c r="L65" s="252" t="n">
        <x:v>440</x:v>
      </x:c>
    </x:row>
    <x:row r="66">
      <x:c r="A66" s="251" t="str">
        <x:v>PREENCHIDO</x:v>
      </x:c>
      <x:c r="B66" s="251" t="n">
        <x:v>68</x:v>
      </x:c>
      <x:c r="C66" s="251" t="n">
        <x:v>65</x:v>
      </x:c>
      <x:c r="D66" s="251" t="str">
        <x:v>Marreta 500g</x:v>
      </x:c>
      <x:c r="E66" s="251" t="n">
        <x:v>1</x:v>
      </x:c>
      <x:c r="F66" s="252" t="n">
        <x:v>36</x:v>
      </x:c>
      <x:c r="G66" s="251" t="str">
        <x:v>55</x:v>
      </x:c>
      <x:c r="H66" s="251" t="str">
        <x:v>Marreta oitavada cabo madeira 500g</x:v>
      </x:c>
      <x:c r="I66" s="251" t="str">
        <x:v>PC</x:v>
      </x:c>
      <x:c r="J66" s="251" t="n">
        <x:v>1</x:v>
      </x:c>
      <x:c r="K66" s="252" t="n">
        <x:v>36</x:v>
      </x:c>
      <x:c r="L66" s="252" t="n">
        <x:v>36</x:v>
      </x:c>
    </x:row>
    <x:row r="67">
      <x:c r="A67" s="251" t="str">
        <x:v>NÃO PREENCHIDO - sem correspondente seguro</x:v>
      </x:c>
      <x:c r="B67" s="251" t="n">
        <x:v>69</x:v>
      </x:c>
      <x:c r="C67" s="251" t="n">
        <x:v>66</x:v>
      </x:c>
      <x:c r="D67" s="251" t="str">
        <x:v>Matriz c. hidráulica 12 t – índice 242 (RDR) - sextavada</x:v>
      </x:c>
      <x:c r="E67" s="251" t="n">
        <x:v>1</x:v>
      </x:c>
      <x:c r="F67" s="252"/>
      <x:c r="G67" s="251" t="str"/>
      <x:c r="H67" s="251" t="str"/>
      <x:c r="I67" s="251" t="str"/>
      <x:c r="J67" s="251" t="str"/>
      <x:c r="K67" s="252" t="str"/>
      <x:c r="L67" s="252" t="str"/>
    </x:row>
    <x:row r="68">
      <x:c r="A68" s="251" t="str">
        <x:v>NÃO PREENCHIDO - sem correspondente seguro</x:v>
      </x:c>
      <x:c r="B68" s="251" t="n">
        <x:v>70</x:v>
      </x:c>
      <x:c r="C68" s="251" t="n">
        <x:v>67</x:v>
      </x:c>
      <x:c r="D68" s="251" t="str">
        <x:v>Matriz c. hidráulica 12 t – índice 245A (RDU e RDR) - sextavada</x:v>
      </x:c>
      <x:c r="E68" s="251" t="n">
        <x:v>1</x:v>
      </x:c>
      <x:c r="F68" s="252"/>
      <x:c r="G68" s="251" t="str"/>
      <x:c r="H68" s="251" t="str"/>
      <x:c r="I68" s="251" t="str"/>
      <x:c r="J68" s="251" t="str"/>
      <x:c r="K68" s="252" t="str"/>
      <x:c r="L68" s="252" t="str"/>
    </x:row>
    <x:row r="69">
      <x:c r="A69" s="251" t="str">
        <x:v>NÃO PREENCHIDO - sem correspondente seguro</x:v>
      </x:c>
      <x:c r="B69" s="251" t="n">
        <x:v>71</x:v>
      </x:c>
      <x:c r="C69" s="251" t="n">
        <x:v>68</x:v>
      </x:c>
      <x:c r="D69" s="251" t="str">
        <x:v>Matriz c. hidráulica 12 t – índice 248 (RDR) - sextavada</x:v>
      </x:c>
      <x:c r="E69" s="251" t="n">
        <x:v>1</x:v>
      </x:c>
      <x:c r="F69" s="252"/>
      <x:c r="G69" s="251" t="str"/>
      <x:c r="H69" s="251" t="str"/>
      <x:c r="I69" s="251" t="str"/>
      <x:c r="J69" s="251" t="str"/>
      <x:c r="K69" s="252" t="str"/>
      <x:c r="L69" s="252" t="str"/>
    </x:row>
    <x:row r="70">
      <x:c r="A70" s="251" t="str">
        <x:v>NÃO PREENCHIDO - sem correspondente seguro</x:v>
      </x:c>
      <x:c r="B70" s="251" t="n">
        <x:v>72</x:v>
      </x:c>
      <x:c r="C70" s="251" t="n">
        <x:v>69</x:v>
      </x:c>
      <x:c r="D70" s="251" t="str">
        <x:v>Matriz c. hidráulica 12 t – índice 249A (RDU, RDR e Litoral) - sextavada</x:v>
      </x:c>
      <x:c r="E70" s="251" t="n">
        <x:v>1</x:v>
      </x:c>
      <x:c r="F70" s="252"/>
      <x:c r="G70" s="251" t="str"/>
      <x:c r="H70" s="251" t="str"/>
      <x:c r="I70" s="251" t="str"/>
      <x:c r="J70" s="251" t="str"/>
      <x:c r="K70" s="252" t="str"/>
      <x:c r="L70" s="252" t="str"/>
    </x:row>
    <x:row r="71">
      <x:c r="A71" s="251" t="str">
        <x:v>NÃO PREENCHIDO - sem correspondente seguro</x:v>
      </x:c>
      <x:c r="B71" s="251" t="n">
        <x:v>73</x:v>
      </x:c>
      <x:c r="C71" s="251" t="n">
        <x:v>70</x:v>
      </x:c>
      <x:c r="D71" s="251" t="str">
        <x:v>Matriz c. hidráulica 12 t – índice 317 (RDU)</x:v>
      </x:c>
      <x:c r="E71" s="251" t="n">
        <x:v>1</x:v>
      </x:c>
      <x:c r="F71" s="252"/>
      <x:c r="G71" s="251" t="str"/>
      <x:c r="H71" s="251" t="str"/>
      <x:c r="I71" s="251" t="str"/>
      <x:c r="J71" s="251" t="str"/>
      <x:c r="K71" s="252" t="str"/>
      <x:c r="L71" s="252" t="str"/>
    </x:row>
    <x:row r="72">
      <x:c r="A72" s="251" t="str">
        <x:v>NÃO PREENCHIDO - sem correspondente seguro</x:v>
      </x:c>
      <x:c r="B72" s="251" t="n">
        <x:v>74</x:v>
      </x:c>
      <x:c r="C72" s="251" t="n">
        <x:v>71</x:v>
      </x:c>
      <x:c r="D72" s="251" t="str">
        <x:v>Matriz c. hidráulica 12 t – índice 321A (RDU) - sextavada</x:v>
      </x:c>
      <x:c r="E72" s="251" t="n">
        <x:v>1</x:v>
      </x:c>
      <x:c r="F72" s="252"/>
      <x:c r="G72" s="251" t="str"/>
      <x:c r="H72" s="251" t="str"/>
      <x:c r="I72" s="251" t="str"/>
      <x:c r="J72" s="251" t="str"/>
      <x:c r="K72" s="252" t="str"/>
      <x:c r="L72" s="252" t="str"/>
    </x:row>
    <x:row r="73">
      <x:c r="A73" s="251" t="str">
        <x:v>NÃO PREENCHIDO - sem correspondente seguro</x:v>
      </x:c>
      <x:c r="B73" s="251" t="n">
        <x:v>75</x:v>
      </x:c>
      <x:c r="C73" s="251" t="n">
        <x:v>72</x:v>
      </x:c>
      <x:c r="D73" s="251" t="str">
        <x:v>Matriz c. mecânica 4 t – índice 162 (RDU, RDR e Litoral)</x:v>
      </x:c>
      <x:c r="E73" s="251" t="n">
        <x:v>1</x:v>
      </x:c>
      <x:c r="F73" s="252"/>
      <x:c r="G73" s="251" t="str"/>
      <x:c r="H73" s="251" t="str"/>
      <x:c r="I73" s="251" t="str"/>
      <x:c r="J73" s="251" t="str"/>
      <x:c r="K73" s="252" t="str"/>
      <x:c r="L73" s="252" t="str"/>
    </x:row>
    <x:row r="74">
      <x:c r="A74" s="251" t="str">
        <x:v>NÃO PREENCHIDO - sem correspondente seguro</x:v>
      </x:c>
      <x:c r="B74" s="251" t="n">
        <x:v>76</x:v>
      </x:c>
      <x:c r="C74" s="251" t="n">
        <x:v>73</x:v>
      </x:c>
      <x:c r="D74" s="251" t="str">
        <x:v>Matriz c. mecânica 4 t – índice 163 (RDU, RDR e Litoral)</x:v>
      </x:c>
      <x:c r="E74" s="251" t="n">
        <x:v>1</x:v>
      </x:c>
      <x:c r="F74" s="252"/>
      <x:c r="G74" s="251" t="str"/>
      <x:c r="H74" s="251" t="str"/>
      <x:c r="I74" s="251" t="str"/>
      <x:c r="J74" s="251" t="str"/>
      <x:c r="K74" s="252" t="str"/>
      <x:c r="L74" s="252" t="str"/>
    </x:row>
    <x:row r="75">
      <x:c r="A75" s="251" t="str">
        <x:v>NÃO PREENCHIDO - sem correspondente seguro</x:v>
      </x:c>
      <x:c r="B75" s="251" t="n">
        <x:v>77</x:v>
      </x:c>
      <x:c r="C75" s="251" t="n">
        <x:v>74</x:v>
      </x:c>
      <x:c r="D75" s="251" t="str">
        <x:v>Matriz c. mecânica 4 t – índice 236 (RDU, RDR e Litoral)</x:v>
      </x:c>
      <x:c r="E75" s="251" t="n">
        <x:v>1</x:v>
      </x:c>
      <x:c r="F75" s="252"/>
      <x:c r="G75" s="251" t="str"/>
      <x:c r="H75" s="251" t="str"/>
      <x:c r="I75" s="251" t="str"/>
      <x:c r="J75" s="251" t="str"/>
      <x:c r="K75" s="252" t="str"/>
      <x:c r="L75" s="252" t="str"/>
    </x:row>
    <x:row r="76">
      <x:c r="A76" s="251" t="str">
        <x:v>NÃO PREENCHIDO - sem correspondente seguro</x:v>
      </x:c>
      <x:c r="B76" s="251" t="n">
        <x:v>78</x:v>
      </x:c>
      <x:c r="C76" s="251" t="n">
        <x:v>75</x:v>
      </x:c>
      <x:c r="D76" s="251" t="str">
        <x:v>Matriz c. mecânica 4 t – índice 237 (RDU, RDR e Litoral)</x:v>
      </x:c>
      <x:c r="E76" s="251" t="n">
        <x:v>1</x:v>
      </x:c>
      <x:c r="F76" s="252"/>
      <x:c r="G76" s="251" t="str"/>
      <x:c r="H76" s="251" t="str"/>
      <x:c r="I76" s="251" t="str"/>
      <x:c r="J76" s="251" t="str"/>
      <x:c r="K76" s="252" t="str"/>
      <x:c r="L76" s="252" t="str"/>
    </x:row>
    <x:row r="77">
      <x:c r="A77" s="251" t="str">
        <x:v>NÃO PREENCHIDO - sem correspondente seguro</x:v>
      </x:c>
      <x:c r="B77" s="251" t="n">
        <x:v>79</x:v>
      </x:c>
      <x:c r="C77" s="251" t="n">
        <x:v>76</x:v>
      </x:c>
      <x:c r="D77" s="251" t="str">
        <x:v>Matriz c. mecânica 4 t – índice 242 (RDU e RDR) </x:v>
      </x:c>
      <x:c r="E77" s="251" t="n">
        <x:v>1</x:v>
      </x:c>
      <x:c r="F77" s="252"/>
      <x:c r="G77" s="251" t="str"/>
      <x:c r="H77" s="251" t="str"/>
      <x:c r="I77" s="251" t="str"/>
      <x:c r="J77" s="251" t="str"/>
      <x:c r="K77" s="252" t="str"/>
      <x:c r="L77" s="252" t="str"/>
    </x:row>
    <x:row r="78">
      <x:c r="A78" s="251" t="str">
        <x:v>NÃO PREENCHIDO - sem correspondente seguro</x:v>
      </x:c>
      <x:c r="B78" s="251" t="n">
        <x:v>80</x:v>
      </x:c>
      <x:c r="C78" s="251" t="n">
        <x:v>77</x:v>
      </x:c>
      <x:c r="D78" s="251" t="str">
        <x:v>Matriz c. mecânica 4 t – índice 243 (RDU, RDR e Litoral)</x:v>
      </x:c>
      <x:c r="E78" s="251" t="n">
        <x:v>1</x:v>
      </x:c>
      <x:c r="F78" s="252"/>
      <x:c r="G78" s="251" t="str"/>
      <x:c r="H78" s="251" t="str"/>
      <x:c r="I78" s="251" t="str"/>
      <x:c r="J78" s="251" t="str"/>
      <x:c r="K78" s="252" t="str"/>
      <x:c r="L78" s="252" t="str"/>
    </x:row>
    <x:row r="79">
      <x:c r="A79" s="251" t="str">
        <x:v>NÃO PREENCHIDO - sem correspondente seguro</x:v>
      </x:c>
      <x:c r="B79" s="251" t="n">
        <x:v>81</x:v>
      </x:c>
      <x:c r="C79" s="251" t="n">
        <x:v>78</x:v>
      </x:c>
      <x:c r="D79" s="251" t="str">
        <x:v>Matriz c. mecânica 4 t – índice 245 (RDU e RDR)</x:v>
      </x:c>
      <x:c r="E79" s="251" t="n">
        <x:v>1</x:v>
      </x:c>
      <x:c r="F79" s="252"/>
      <x:c r="G79" s="251" t="str"/>
      <x:c r="H79" s="251" t="str"/>
      <x:c r="I79" s="251" t="str"/>
      <x:c r="J79" s="251" t="str"/>
      <x:c r="K79" s="252" t="str"/>
      <x:c r="L79" s="252" t="str"/>
    </x:row>
    <x:row r="80">
      <x:c r="A80" s="251" t="str">
        <x:v>PREENCHIDO</x:v>
      </x:c>
      <x:c r="B80" s="251" t="n">
        <x:v>82</x:v>
      </x:c>
      <x:c r="C80" s="251" t="n">
        <x:v>79</x:v>
      </x:c>
      <x:c r="D80" s="251" t="str">
        <x:v>Moitão linha viva duplo sem corda – 400 daN - conjunto</x:v>
      </x:c>
      <x:c r="E80" s="251" t="n">
        <x:v>2</x:v>
      </x:c>
      <x:c r="F80" s="252" t="n">
        <x:v>1390</x:v>
      </x:c>
      <x:c r="G80" s="251" t="str">
        <x:v>67</x:v>
      </x:c>
      <x:c r="H80" s="251" t="str">
        <x:v>Moitão duplo leve de plástico uso até 400daN com 15m corda</x:v>
      </x:c>
      <x:c r="I80" s="251" t="str">
        <x:v>PC</x:v>
      </x:c>
      <x:c r="J80" s="251" t="n">
        <x:v>2</x:v>
      </x:c>
      <x:c r="K80" s="252" t="n">
        <x:v>1390</x:v>
      </x:c>
      <x:c r="L80" s="252" t="n">
        <x:v>2780</x:v>
      </x:c>
    </x:row>
    <x:row r="81">
      <x:c r="A81" s="251" t="str">
        <x:v>PREENCHIDO</x:v>
      </x:c>
      <x:c r="B81" s="251" t="n">
        <x:v>83</x:v>
      </x:c>
      <x:c r="C81" s="251" t="n">
        <x:v>80</x:v>
      </x:c>
      <x:c r="D81" s="251" t="str">
        <x:v>Moitão linha viva triplo sem corda – 1000 daN - conjunto</x:v>
      </x:c>
      <x:c r="E81" s="251" t="n">
        <x:v>1</x:v>
      </x:c>
      <x:c r="F81" s="252" t="n">
        <x:v>1980</x:v>
      </x:c>
      <x:c r="G81" s="251" t="str">
        <x:v>68</x:v>
      </x:c>
      <x:c r="H81" s="251" t="str">
        <x:v>Moitão triplo de termoplástico cor preto uso até 1589daN com 45m corda</x:v>
      </x:c>
      <x:c r="I81" s="251" t="str">
        <x:v>PC</x:v>
      </x:c>
      <x:c r="J81" s="251" t="n">
        <x:v>1</x:v>
      </x:c>
      <x:c r="K81" s="252" t="n">
        <x:v>1980</x:v>
      </x:c>
      <x:c r="L81" s="252" t="n">
        <x:v>1980</x:v>
      </x:c>
    </x:row>
    <x:row r="82">
      <x:c r="A82" s="251" t="str">
        <x:v>NÃO PREENCHIDO - sem correspondente seguro</x:v>
      </x:c>
      <x:c r="B82" s="251" t="n">
        <x:v>84</x:v>
      </x:c>
      <x:c r="C82" s="251" t="n">
        <x:v>81</x:v>
      </x:c>
      <x:c r="D82" s="251" t="str">
        <x:v>Motosserra 1,5 HP</x:v>
      </x:c>
      <x:c r="E82" s="251" t="n">
        <x:v>1</x:v>
      </x:c>
      <x:c r="F82" s="252"/>
      <x:c r="G82" s="251" t="str"/>
      <x:c r="H82" s="251" t="str"/>
      <x:c r="I82" s="251" t="str"/>
      <x:c r="J82" s="251" t="str"/>
      <x:c r="K82" s="252" t="str"/>
      <x:c r="L82" s="252" t="str"/>
    </x:row>
    <x:row r="83">
      <x:c r="A83" s="251" t="str">
        <x:v>PREENCHIDO</x:v>
      </x:c>
      <x:c r="B83" s="251" t="n">
        <x:v>85</x:v>
      </x:c>
      <x:c r="C83" s="251" t="n">
        <x:v>82</x:v>
      </x:c>
      <x:c r="D83" s="251" t="str">
        <x:v>Parafuso sela para poste duplo T</x:v>
      </x:c>
      <x:c r="E83" s="251" t="n">
        <x:v>2</x:v>
      </x:c>
      <x:c r="F83" s="252" t="n">
        <x:v>770</x:v>
      </x:c>
      <x:c r="G83" s="251" t="str">
        <x:v>69</x:v>
      </x:c>
      <x:c r="H83" s="251" t="str">
        <x:v>Parafuso sela com colar 64mm uso em poste DT para LV</x:v>
      </x:c>
      <x:c r="I83" s="251" t="str">
        <x:v>PC</x:v>
      </x:c>
      <x:c r="J83" s="251" t="n">
        <x:v>2</x:v>
      </x:c>
      <x:c r="K83" s="252" t="n">
        <x:v>770</x:v>
      </x:c>
      <x:c r="L83" s="252" t="n">
        <x:v>1540</x:v>
      </x:c>
    </x:row>
    <x:row r="84">
      <x:c r="A84" s="251" t="str">
        <x:v>PREENCHIDO</x:v>
      </x:c>
      <x:c r="B84" s="251" t="n">
        <x:v>86</x:v>
      </x:c>
      <x:c r="C84" s="251" t="n">
        <x:v>83</x:v>
      </x:c>
      <x:c r="D84" s="251" t="str">
        <x:v>Placa de alerta 20x30cm com descrição: “Atenção - Não opere este equipamento”</x:v>
      </x:c>
      <x:c r="E84" s="251" t="n">
        <x:v>1</x:v>
      </x:c>
      <x:c r="F84" s="252" t="n">
        <x:v>39</x:v>
      </x:c>
      <x:c r="G84" s="251" t="str">
        <x:v>70</x:v>
      </x:c>
      <x:c r="H84" s="251" t="str">
        <x:v>Placa de sinalização em PVC cor AMARELA c/ilhoses - ATENÇÃO - NÃO OPERE ESTE EQUIPAMENTO - 33cx25cm</x:v>
      </x:c>
      <x:c r="I84" s="251" t="str">
        <x:v>PC</x:v>
      </x:c>
      <x:c r="J84" s="251" t="n">
        <x:v>1</x:v>
      </x:c>
      <x:c r="K84" s="252" t="n">
        <x:v>39</x:v>
      </x:c>
      <x:c r="L84" s="252" t="n">
        <x:v>39</x:v>
      </x:c>
    </x:row>
    <x:row r="85">
      <x:c r="A85" s="251" t="str">
        <x:v>PREENCHIDO</x:v>
      </x:c>
      <x:c r="B85" s="251" t="n">
        <x:v>87</x:v>
      </x:c>
      <x:c r="C85" s="251" t="n">
        <x:v>84</x:v>
      </x:c>
      <x:c r="D85" s="251" t="str">
        <x:v>Pregador manual de cobertura</x:v>
      </x:c>
      <x:c r="E85" s="251" t="n">
        <x:v>12</x:v>
      </x:c>
      <x:c r="F85" s="252" t="n">
        <x:v>106</x:v>
      </x:c>
      <x:c r="G85" s="251" t="str">
        <x:v>71</x:v>
      </x:c>
      <x:c r="H85" s="251" t="str">
        <x:v>Pregador para lençois isolantes com 240mm para LV</x:v>
      </x:c>
      <x:c r="I85" s="251" t="str">
        <x:v>PC</x:v>
      </x:c>
      <x:c r="J85" s="251" t="n">
        <x:v>12</x:v>
      </x:c>
      <x:c r="K85" s="252" t="n">
        <x:v>106</x:v>
      </x:c>
      <x:c r="L85" s="252" t="n">
        <x:v>1272</x:v>
      </x:c>
    </x:row>
    <x:row r="86">
      <x:c r="A86" s="251" t="str">
        <x:v>PREENCHIDO</x:v>
      </x:c>
      <x:c r="B86" s="251" t="n">
        <x:v>88</x:v>
      </x:c>
      <x:c r="C86" s="251" t="n">
        <x:v>85</x:v>
      </x:c>
      <x:c r="D86" s="251" t="str">
        <x:v>Presilha de suspensão sem isolador</x:v>
      </x:c>
      <x:c r="E86" s="251" t="n">
        <x:v>3</x:v>
      </x:c>
      <x:c r="F86" s="252" t="n">
        <x:v>310</x:v>
      </x:c>
      <x:c r="G86" s="251" t="str">
        <x:v>72</x:v>
      </x:c>
      <x:c r="H86" s="251" t="str">
        <x:v>Presilha de elevação 1'' sem isolador para</x:v>
      </x:c>
      <x:c r="I86" s="251" t="str">
        <x:v>PC</x:v>
      </x:c>
      <x:c r="J86" s="251" t="n">
        <x:v>3</x:v>
      </x:c>
      <x:c r="K86" s="252" t="n">
        <x:v>310</x:v>
      </x:c>
      <x:c r="L86" s="252" t="n">
        <x:v>930</x:v>
      </x:c>
    </x:row>
    <x:row r="87">
      <x:c r="A87" s="251" t="str">
        <x:v>PREENCHIDO</x:v>
      </x:c>
      <x:c r="B87" s="251" t="n">
        <x:v>89</x:v>
      </x:c>
      <x:c r="C87" s="251" t="n">
        <x:v>86</x:v>
      </x:c>
      <x:c r="D87" s="251" t="str">
        <x:v>Protetor de lona para lençóis</x:v>
      </x:c>
      <x:c r="E87" s="251" t="n">
        <x:v>1</x:v>
      </x:c>
      <x:c r="F87" s="252" t="n">
        <x:v>48</x:v>
      </x:c>
      <x:c r="G87" s="251" t="str">
        <x:v>129</x:v>
      </x:c>
      <x:c r="H87" s="251" t="str">
        <x:v>Bolsa para 4 lençois BT 40cmx12cmx15cm - em lona verde</x:v>
      </x:c>
      <x:c r="I87" s="251" t="str">
        <x:v>PC</x:v>
      </x:c>
      <x:c r="J87" s="251" t="n">
        <x:v>1</x:v>
      </x:c>
      <x:c r="K87" s="252" t="n">
        <x:v>48</x:v>
      </x:c>
      <x:c r="L87" s="252" t="n">
        <x:v>48</x:v>
      </x:c>
    </x:row>
    <x:row r="88">
      <x:c r="A88" s="251" t="str">
        <x:v>NÃO PREENCHIDO - sem correspondente seguro</x:v>
      </x:c>
      <x:c r="B88" s="251" t="n">
        <x:v>90</x:v>
      </x:c>
      <x:c r="C88" s="251" t="n">
        <x:v>87</x:v>
      </x:c>
      <x:c r="D88" s="251" t="str">
        <x:v>Protetor de polietileno para caçamba 50 kV</x:v>
      </x:c>
      <x:c r="E88" s="251" t="n">
        <x:v>2</x:v>
      </x:c>
      <x:c r="F88" s="252"/>
      <x:c r="G88" s="251" t="str"/>
      <x:c r="H88" s="251" t="str"/>
      <x:c r="I88" s="251" t="str"/>
      <x:c r="J88" s="251" t="str"/>
      <x:c r="K88" s="252" t="str"/>
      <x:c r="L88" s="252" t="str"/>
    </x:row>
    <x:row r="89">
      <x:c r="A89" s="251" t="str">
        <x:v>PREENCHIDO</x:v>
      </x:c>
      <x:c r="B89" s="251" t="n">
        <x:v>91</x:v>
      </x:c>
      <x:c r="C89" s="251" t="n">
        <x:v>88</x:v>
      </x:c>
      <x:c r="D89" s="251" t="str">
        <x:v>Sacola de lona de vinyl para acondicionamento de vara de manobra</x:v>
      </x:c>
      <x:c r="E89" s="251" t="n">
        <x:v>1</x:v>
      </x:c>
      <x:c r="F89" s="252" t="n">
        <x:v>105</x:v>
      </x:c>
      <x:c r="G89" s="251" t="str">
        <x:v>135</x:v>
      </x:c>
      <x:c r="H89" s="251" t="str">
        <x:v>Bolsa para VM 4 elementos 150cmx36cm - em lona verde</x:v>
      </x:c>
      <x:c r="I89" s="251" t="str">
        <x:v>PC</x:v>
      </x:c>
      <x:c r="J89" s="251" t="n">
        <x:v>1</x:v>
      </x:c>
      <x:c r="K89" s="252" t="n">
        <x:v>105</x:v>
      </x:c>
      <x:c r="L89" s="252" t="n">
        <x:v>105</x:v>
      </x:c>
    </x:row>
    <x:row r="90">
      <x:c r="A90" s="251" t="str">
        <x:v>PREENCHIDO</x:v>
      </x:c>
      <x:c r="B90" s="251" t="n">
        <x:v>92</x:v>
      </x:c>
      <x:c r="C90" s="251" t="n">
        <x:v>89</x:v>
      </x:c>
      <x:c r="D90" s="251" t="str">
        <x:v>Sacola para manga de borracha</x:v>
      </x:c>
      <x:c r="E90" s="251" t="n">
        <x:v>1</x:v>
      </x:c>
      <x:c r="F90" s="252" t="n">
        <x:v>52</x:v>
      </x:c>
      <x:c r="G90" s="251" t="str">
        <x:v>73</x:v>
      </x:c>
      <x:c r="H90" s="251" t="str">
        <x:v>Bolsa para manga isolante 70cmx30cmx5cm em lona verde</x:v>
      </x:c>
      <x:c r="I90" s="251" t="str">
        <x:v>PC</x:v>
      </x:c>
      <x:c r="J90" s="251" t="n">
        <x:v>3</x:v>
      </x:c>
      <x:c r="K90" s="252" t="n">
        <x:v>52</x:v>
      </x:c>
      <x:c r="L90" s="252" t="n">
        <x:v>156</x:v>
      </x:c>
    </x:row>
    <x:row r="91">
      <x:c r="A91" s="251" t="str">
        <x:v>PREENCHIDO</x:v>
      </x:c>
      <x:c r="B91" s="251" t="n">
        <x:v>93</x:v>
      </x:c>
      <x:c r="C91" s="251" t="n">
        <x:v>90</x:v>
      </x:c>
      <x:c r="D91" s="251" t="str">
        <x:v>Sela com colar 38 mm</x:v>
      </x:c>
      <x:c r="E91" s="251" t="n">
        <x:v>1</x:v>
      </x:c>
      <x:c r="F91" s="252" t="n">
        <x:v>860</x:v>
      </x:c>
      <x:c r="G91" s="251" t="str">
        <x:v>74</x:v>
      </x:c>
      <x:c r="H91" s="251" t="str">
        <x:v>Sela para poste com extensor-colar 38mm para</x:v>
      </x:c>
      <x:c r="I91" s="251" t="str">
        <x:v>PC</x:v>
      </x:c>
      <x:c r="J91" s="251" t="n">
        <x:v>1</x:v>
      </x:c>
      <x:c r="K91" s="252" t="n">
        <x:v>860</x:v>
      </x:c>
      <x:c r="L91" s="252" t="n">
        <x:v>860</x:v>
      </x:c>
    </x:row>
    <x:row r="92">
      <x:c r="A92" s="251" t="str">
        <x:v>PREENCHIDO</x:v>
      </x:c>
      <x:c r="B92" s="251" t="n">
        <x:v>94</x:v>
      </x:c>
      <x:c r="C92" s="251" t="n">
        <x:v>91</x:v>
      </x:c>
      <x:c r="D92" s="251" t="str">
        <x:v>Sela para amarração de corda</x:v>
      </x:c>
      <x:c r="E92" s="251" t="n">
        <x:v>1</x:v>
      </x:c>
      <x:c r="F92" s="252" t="n">
        <x:v>510</x:v>
      </x:c>
      <x:c r="G92" s="251" t="str">
        <x:v>75</x:v>
      </x:c>
      <x:c r="H92" s="251" t="str">
        <x:v>Sela para amarração de corda para LV</x:v>
      </x:c>
      <x:c r="I92" s="251" t="str">
        <x:v>PC</x:v>
      </x:c>
      <x:c r="J92" s="251" t="n">
        <x:v>1</x:v>
      </x:c>
      <x:c r="K92" s="252" t="n">
        <x:v>510</x:v>
      </x:c>
      <x:c r="L92" s="252" t="n">
        <x:v>510</x:v>
      </x:c>
    </x:row>
    <x:row r="93">
      <x:c r="A93" s="251" t="str">
        <x:v>PREENCHIDO - valor composto, revisar</x:v>
      </x:c>
      <x:c r="B93" s="251" t="n">
        <x:v>95</x:v>
      </x:c>
      <x:c r="C93" s="251" t="n">
        <x:v>92</x:v>
      </x:c>
      <x:c r="D93" s="251" t="str">
        <x:v>Serra para galhos adaptável em vara de manobra</x:v>
      </x:c>
      <x:c r="E93" s="251" t="n">
        <x:v>2</x:v>
      </x:c>
      <x:c r="F93" s="252" t="n">
        <x:v>313</x:v>
      </x:c>
      <x:c r="G93" s="251" t="str">
        <x:v>76, 77</x:v>
      </x:c>
      <x:c r="H93" s="251" t="str">
        <x:v>Lâmina para serrote de poda com gancho 14" - sem adaptador + Adaptador em aço com parafusos para lâmina de poda ref 21330</x:v>
      </x:c>
      <x:c r="I93" s="251" t="str">
        <x:v>PC, PC</x:v>
      </x:c>
      <x:c r="J93" s="251" t="str">
        <x:v>2, 2</x:v>
      </x:c>
      <x:c r="K93" s="252" t="str">
        <x:v>195, 118</x:v>
      </x:c>
      <x:c r="L93" s="252" t="n">
        <x:v>626</x:v>
      </x:c>
    </x:row>
    <x:row r="94">
      <x:c r="A94" s="251" t="str">
        <x:v>NÃO PREENCHIDO - sem correspondente seguro</x:v>
      </x:c>
      <x:c r="B94" s="251" t="n">
        <x:v>96</x:v>
      </x:c>
      <x:c r="C94" s="251" t="n">
        <x:v>93</x:v>
      </x:c>
      <x:c r="D94" s="251" t="str">
        <x:v>Serra poda hidráulica ISOLADA PARA LINHA VIVA;longa 2000 rs</x:v>
      </x:c>
      <x:c r="E94" s="251" t="n">
        <x:v>1</x:v>
      </x:c>
      <x:c r="F94" s="252"/>
      <x:c r="G94" s="251" t="str"/>
      <x:c r="H94" s="251" t="str"/>
      <x:c r="I94" s="251" t="str"/>
      <x:c r="J94" s="251" t="str"/>
      <x:c r="K94" s="252" t="str"/>
      <x:c r="L94" s="252" t="str"/>
    </x:row>
    <x:row r="95">
      <x:c r="A95" s="251" t="str">
        <x:v>PREENCHIDO</x:v>
      </x:c>
      <x:c r="B95" s="251" t="n">
        <x:v>97</x:v>
      </x:c>
      <x:c r="C95" s="251" t="n">
        <x:v>94</x:v>
      </x:c>
      <x:c r="D95" s="251" t="str">
        <x:v>Suporte isolado para “by-pass” </x:v>
      </x:c>
      <x:c r="E95" s="251" t="n">
        <x:v>3</x:v>
      </x:c>
      <x:c r="F95" s="252" t="n">
        <x:v>380</x:v>
      </x:c>
      <x:c r="G95" s="251" t="str">
        <x:v>78</x:v>
      </x:c>
      <x:c r="H95" s="251" t="str">
        <x:v>Suporte isolado para by pass 34,5kV para LV</x:v>
      </x:c>
      <x:c r="I95" s="251" t="str">
        <x:v>PC</x:v>
      </x:c>
      <x:c r="J95" s="251" t="n">
        <x:v>3</x:v>
      </x:c>
      <x:c r="K95" s="252" t="n">
        <x:v>380</x:v>
      </x:c>
      <x:c r="L95" s="252" t="n">
        <x:v>1140</x:v>
      </x:c>
    </x:row>
    <x:row r="96">
      <x:c r="A96" s="251" t="str">
        <x:v>PREENCHIDO</x:v>
      </x:c>
      <x:c r="B96" s="251" t="n">
        <x:v>98</x:v>
      </x:c>
      <x:c r="C96" s="251" t="n">
        <x:v>95</x:v>
      </x:c>
      <x:c r="D96" s="251" t="str">
        <x:v>Talha com tirante de nylon – 1000 kgf</x:v>
      </x:c>
      <x:c r="E96" s="251" t="n">
        <x:v>2</x:v>
      </x:c>
      <x:c r="F96" s="252" t="n">
        <x:v>4490</x:v>
      </x:c>
      <x:c r="G96" s="251" t="str">
        <x:v>79</x:v>
      </x:c>
      <x:c r="H96" s="251" t="str">
        <x:v>Talha reforçada com tirante de nylon para 1000Kg para LV</x:v>
      </x:c>
      <x:c r="I96" s="251" t="str">
        <x:v>PC</x:v>
      </x:c>
      <x:c r="J96" s="251" t="n">
        <x:v>2</x:v>
      </x:c>
      <x:c r="K96" s="252" t="n">
        <x:v>4490</x:v>
      </x:c>
      <x:c r="L96" s="252" t="n">
        <x:v>8980</x:v>
      </x:c>
    </x:row>
    <x:row r="97">
      <x:c r="A97" s="251" t="str">
        <x:v>PREENCHIDO</x:v>
      </x:c>
      <x:c r="B97" s="251" t="n">
        <x:v>99</x:v>
      </x:c>
      <x:c r="C97" s="251" t="n">
        <x:v>96</x:v>
      </x:c>
      <x:c r="D97" s="251" t="str">
        <x:v>Talha com tirante de nylon – 2000 kgf</x:v>
      </x:c>
      <x:c r="E97" s="251" t="n">
        <x:v>1</x:v>
      </x:c>
      <x:c r="F97" s="252" t="n">
        <x:v>5150</x:v>
      </x:c>
      <x:c r="G97" s="251" t="str">
        <x:v>80</x:v>
      </x:c>
      <x:c r="H97" s="251" t="str">
        <x:v>Talha reforçada com tirante de nylon para 2000Kg para LV</x:v>
      </x:c>
      <x:c r="I97" s="251" t="str">
        <x:v>PC</x:v>
      </x:c>
      <x:c r="J97" s="251" t="n">
        <x:v>1</x:v>
      </x:c>
      <x:c r="K97" s="252" t="n">
        <x:v>5150</x:v>
      </x:c>
      <x:c r="L97" s="252" t="n">
        <x:v>5150</x:v>
      </x:c>
    </x:row>
    <x:row r="98">
      <x:c r="A98" s="251" t="str">
        <x:v>PREENCHIDO</x:v>
      </x:c>
      <x:c r="B98" s="251" t="n">
        <x:v>100</x:v>
      </x:c>
      <x:c r="C98" s="251" t="n">
        <x:v>97</x:v>
      </x:c>
      <x:c r="D98" s="251" t="str">
        <x:v>Terminal para “by-pass” com cabo 35 mm²</x:v>
      </x:c>
      <x:c r="E98" s="251" t="n">
        <x:v>12</x:v>
      </x:c>
      <x:c r="F98" s="252" t="n">
        <x:v>119</x:v>
      </x:c>
      <x:c r="G98" s="251" t="str">
        <x:v>81</x:v>
      </x:c>
      <x:c r="H98" s="251" t="str">
        <x:v>Terminal de cobre para grampo isolado e cabo 2 AWG ( 35 mm2 ) isolado para LV</x:v>
      </x:c>
      <x:c r="I98" s="251" t="str">
        <x:v>PC</x:v>
      </x:c>
      <x:c r="J98" s="251" t="n">
        <x:v>12</x:v>
      </x:c>
      <x:c r="K98" s="252" t="n">
        <x:v>119</x:v>
      </x:c>
      <x:c r="L98" s="252" t="n">
        <x:v>1428</x:v>
      </x:c>
    </x:row>
    <x:row r="99">
      <x:c r="A99" s="251" t="str">
        <x:v>PREENCHIDO</x:v>
      </x:c>
      <x:c r="B99" s="251" t="n">
        <x:v>101</x:v>
      </x:c>
      <x:c r="C99" s="251" t="n">
        <x:v>98</x:v>
      </x:c>
      <x:c r="D99" s="251" t="str">
        <x:v>Terminal para “by-pass” com cabo 70 mm²</x:v>
      </x:c>
      <x:c r="E99" s="251" t="n">
        <x:v>12</x:v>
      </x:c>
      <x:c r="F99" s="252" t="n">
        <x:v>140</x:v>
      </x:c>
      <x:c r="G99" s="251" t="str">
        <x:v>82</x:v>
      </x:c>
      <x:c r="H99" s="251" t="str">
        <x:v>Terminal de cobre para grampo isolado e cabo 2/0 AWG ( 70 mm2 ) isolado para LV</x:v>
      </x:c>
      <x:c r="I99" s="251" t="str">
        <x:v>PC</x:v>
      </x:c>
      <x:c r="J99" s="251" t="n">
        <x:v>12</x:v>
      </x:c>
      <x:c r="K99" s="252" t="n">
        <x:v>140</x:v>
      </x:c>
      <x:c r="L99" s="252" t="n">
        <x:v>1680</x:v>
      </x:c>
    </x:row>
    <x:row r="100">
      <x:c r="A100" s="251" t="str">
        <x:v>PREENCHIDO</x:v>
      </x:c>
      <x:c r="B100" s="251" t="n">
        <x:v>102</x:v>
      </x:c>
      <x:c r="C100" s="251" t="n">
        <x:v>99</x:v>
      </x:c>
      <x:c r="D100" s="251" t="str">
        <x:v>Tesourão para corte de cabo 760mm</x:v>
      </x:c>
      <x:c r="E100" s="251" t="n">
        <x:v>1</x:v>
      </x:c>
      <x:c r="F100" s="252" t="n">
        <x:v>2110</x:v>
      </x:c>
      <x:c r="G100" s="251" t="str">
        <x:v>83</x:v>
      </x:c>
      <x:c r="H100" s="251" t="str">
        <x:v>Tesourão isolado 38mm e 0,84 m comp. para cabo até 556MCM ACSR 23,5mm diâmetro</x:v>
      </x:c>
      <x:c r="I100" s="251" t="str">
        <x:v>PC</x:v>
      </x:c>
      <x:c r="J100" s="251" t="n">
        <x:v>1</x:v>
      </x:c>
      <x:c r="K100" s="252" t="n">
        <x:v>2110</x:v>
      </x:c>
      <x:c r="L100" s="252" t="n">
        <x:v>2110</x:v>
      </x:c>
    </x:row>
    <x:row r="101">
      <x:c r="A101" s="251" t="str">
        <x:v>PREENCHIDO</x:v>
      </x:c>
      <x:c r="B101" s="251" t="n">
        <x:v>103</x:v>
      </x:c>
      <x:c r="C101" s="251" t="n">
        <x:v>100</x:v>
      </x:c>
      <x:c r="D101" s="251" t="str">
        <x:v>Trena de 50m</x:v>
      </x:c>
      <x:c r="E101" s="251" t="n">
        <x:v>1</x:v>
      </x:c>
      <x:c r="F101" s="252" t="n">
        <x:v>49</x:v>
      </x:c>
      <x:c r="G101" s="251" t="str">
        <x:v>84</x:v>
      </x:c>
      <x:c r="H101" s="251" t="str">
        <x:v>Trena de fibra longa tipo aberta com 50m - Starfer</x:v>
      </x:c>
      <x:c r="I101" s="251" t="str">
        <x:v>PC</x:v>
      </x:c>
      <x:c r="J101" s="251" t="n">
        <x:v>1</x:v>
      </x:c>
      <x:c r="K101" s="252" t="n">
        <x:v>49</x:v>
      </x:c>
      <x:c r="L101" s="252" t="n">
        <x:v>49</x:v>
      </x:c>
    </x:row>
  </x:sheetData>
  <x:pageMargins left="0.7" right="0.7" top="0.75" bottom="0.75" header="0.3" footer="0.3"/>
  <x:tableParts count="1">
    <x:tablePart xmlns:r="http://schemas.openxmlformats.org/officeDocument/2006/relationships" r:id="R738c4d49bd1d4abe"/>
  </x:tableParts>
</x:worksheet>
</file>