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rramental Manuteção" sheetId="1" state="visible" r:id="rId1"/>
    <sheet xmlns:r="http://schemas.openxmlformats.org/officeDocument/2006/relationships" name="Lista de materiais" sheetId="2" state="visible" r:id="rId2"/>
    <sheet xmlns:r="http://schemas.openxmlformats.org/officeDocument/2006/relationships" name="Conferência valores" sheetId="3" state="visible" r:id="rId3"/>
  </sheets>
  <definedNames/>
</workbook>
</file>

<file path=xl/styles.xml><?xml version="1.0" encoding="utf-8"?>
<styleSheet xmlns="http://schemas.openxmlformats.org/spreadsheetml/2006/main">
  <numFmts count="6">
    <numFmt numFmtId="164" formatCode="&quot;R$&quot;\ #,##0.00"/>
    <numFmt numFmtId="165" formatCode="\R\$\ #,##0.0000"/>
    <numFmt numFmtId="166" formatCode="\R\$\ #,##0.00"/>
    <numFmt numFmtId="167" formatCode="&quot;R$&quot;\ #,##0.00;[Red]\-&quot;R$&quot;\ #,##0.00"/>
    <numFmt numFmtId="168" formatCode="&quot;R$&quot;\ #,##0.00000000;[Red]\-&quot;R$&quot;\ #,##0.00000000"/>
    <numFmt numFmtId="169" formatCode="_-&quot;R$&quot;\ * #,##0.00_-;\-&quot;R$&quot;\ * #,##0.00_-;_-&quot;R$&quot;\ * &quot;-&quot;??_-;_-@_-"/>
  </numFmts>
  <fonts count="20">
    <font>
      <name val="Calibri"/>
      <color theme="1"/>
      <sz val="11"/>
    </font>
    <font>
      <name val="Calibri"/>
      <color theme="1"/>
      <sz val="11"/>
    </font>
    <font>
      <name val="Arial"/>
      <b val="1"/>
      <color theme="1"/>
      <sz val="14"/>
    </font>
    <font>
      <name val="Calibri"/>
      <b val="1"/>
      <color theme="1"/>
      <sz val="11"/>
    </font>
    <font>
      <name val="Arial"/>
      <color theme="1"/>
      <sz val="12"/>
    </font>
    <font>
      <name val="Arial"/>
      <color rgb="00000000"/>
      <sz val="12"/>
    </font>
    <font>
      <name val="Segoe UI"/>
      <b val="1"/>
      <color indexed="81"/>
      <sz val="9"/>
    </font>
    <font>
      <name val="Carlito"/>
      <sz val="11"/>
    </font>
    <font>
      <name val="Calibri"/>
      <b val="1"/>
      <color rgb="00111827"/>
      <sz val="10"/>
    </font>
    <font>
      <name val="Calibri"/>
      <color rgb="00111827"/>
      <sz val="10"/>
    </font>
    <font>
      <name val="Bahnschrift Condensed"/>
      <color theme="1"/>
      <sz val="11"/>
    </font>
    <font>
      <name val="Bahnschrift Condensed"/>
      <color rgb="00FF0000"/>
      <sz val="11"/>
    </font>
    <font>
      <name val="Carlito"/>
      <b val="1"/>
      <color rgb="00000000"/>
      <sz val="11"/>
    </font>
    <font>
      <name val="Carlito"/>
      <sz val="10"/>
    </font>
    <font>
      <name val="Times New Roman"/>
      <color rgb="00000000"/>
      <sz val="10"/>
    </font>
    <font>
      <name val="Bahnschrift Condensed"/>
      <color theme="1"/>
      <sz val="10"/>
    </font>
    <font>
      <name val="Calibri"/>
      <color theme="1"/>
      <sz val="12"/>
    </font>
    <font>
      <name val="Bahnschrift Condensed"/>
      <color rgb="00000000"/>
      <sz val="10"/>
    </font>
    <font>
      <name val="Bahnschrift Condensed"/>
      <b val="1"/>
      <color rgb="00FF0000"/>
      <sz val="11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59999"/>
      </patternFill>
    </fill>
    <fill>
      <patternFill patternType="solid">
        <fgColor theme="7" tint="0.59999"/>
      </patternFill>
    </fill>
    <fill>
      <patternFill patternType="solid">
        <fgColor theme="8" tint="0.59999"/>
      </patternFill>
    </fill>
    <fill>
      <patternFill patternType="solid">
        <fgColor theme="3" tint="0.79998"/>
      </patternFill>
    </fill>
    <fill>
      <patternFill patternType="solid">
        <fgColor theme="9" tint="0.39998"/>
      </patternFill>
    </fill>
    <fill>
      <patternFill patternType="solid">
        <fgColor rgb="00D9EAF7"/>
      </patternFill>
    </fill>
    <fill>
      <patternFill patternType="solid">
        <fgColor theme="4" tint="0.59999"/>
      </patternFill>
    </fill>
    <fill>
      <patternFill patternType="solid">
        <fgColor theme="0" tint="-0.24998"/>
      </patternFill>
    </fill>
    <fill>
      <patternFill patternType="solid">
        <fgColor rgb="001F4E78"/>
      </patternFill>
    </fill>
  </fills>
  <borders count="48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bottom style="thin">
        <color indexed="64"/>
      </bottom>
    </border>
    <border>
      <left style="thin">
        <color rgb="00A7B6C2"/>
      </left>
      <top style="thin">
        <color rgb="00A7B6C2"/>
      </top>
      <bottom style="thin">
        <color rgb="00A7B6C2"/>
      </bottom>
    </border>
    <border>
      <top style="thin">
        <color rgb="00A7B6C2"/>
      </top>
      <bottom style="thin">
        <color rgb="00A7B6C2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left style="thin">
        <color rgb="00E5E7EB"/>
      </lef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medium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bottom style="medium">
        <color indexed="64"/>
      </bottom>
    </border>
    <border>
      <top style="thin">
        <color indexed="64"/>
      </top>
      <bottom style="medium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right style="thin">
        <color indexed="64"/>
      </right>
    </border>
    <border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medium">
        <color indexed="64"/>
      </left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00A7B6C2"/>
      </left>
      <top style="thin">
        <color rgb="00A7B6C2"/>
      </top>
      <bottom style="thin">
        <color rgb="00A7B6C2"/>
      </bottom>
    </border>
    <border>
      <top style="thin">
        <color rgb="00A7B6C2"/>
      </top>
      <bottom style="thin">
        <color rgb="00A7B6C2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left style="thin">
        <color rgb="00E5E7EB"/>
      </lef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</border>
    <border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medium">
        <color indexed="64"/>
      </left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top style="thin">
        <color indexed="64"/>
      </top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medium">
        <color indexed="64"/>
      </bottom>
    </border>
  </borders>
  <cellStyleXfs count="7">
    <xf numFmtId="0" fontId="1" fillId="0" borderId="22"/>
    <xf numFmtId="9" fontId="1" fillId="0" borderId="22"/>
    <xf numFmtId="44" fontId="1" fillId="0" borderId="22"/>
    <xf numFmtId="44" fontId="1" fillId="0" borderId="22"/>
    <xf numFmtId="44" fontId="1" fillId="0" borderId="22"/>
    <xf numFmtId="44" fontId="1" fillId="0" borderId="22"/>
    <xf numFmtId="0" fontId="7" fillId="0" borderId="22"/>
  </cellStyleXfs>
  <cellXfs count="27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0" fontId="0" fillId="0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8" borderId="3" applyAlignment="1" pivotButton="0" quotePrefix="0" xfId="6">
      <alignment horizontal="center" vertical="center" wrapText="1"/>
    </xf>
    <xf numFmtId="0" fontId="8" fillId="8" borderId="4" applyAlignment="1" pivotButton="0" quotePrefix="0" xfId="6">
      <alignment horizontal="center" vertical="center" wrapText="1"/>
    </xf>
    <xf numFmtId="0" fontId="7" fillId="0" borderId="0" pivotButton="0" quotePrefix="0" xfId="6"/>
    <xf numFmtId="0" fontId="9" fillId="0" borderId="5" applyAlignment="1" pivotButton="0" quotePrefix="0" xfId="6">
      <alignment horizontal="center" vertical="center"/>
    </xf>
    <xf numFmtId="0" fontId="9" fillId="0" borderId="6" applyAlignment="1" pivotButton="0" quotePrefix="0" xfId="6">
      <alignment horizontal="center" vertical="center"/>
    </xf>
    <xf numFmtId="0" fontId="9" fillId="0" borderId="6" applyAlignment="1" pivotButton="0" quotePrefix="0" xfId="6">
      <alignment vertical="center" wrapText="1"/>
    </xf>
    <xf numFmtId="0" fontId="9" fillId="0" borderId="6" applyAlignment="1" pivotButton="0" quotePrefix="0" xfId="6">
      <alignment vertical="center"/>
    </xf>
    <xf numFmtId="1" fontId="9" fillId="0" borderId="6" applyAlignment="1" pivotButton="0" quotePrefix="0" xfId="6">
      <alignment horizontal="center" vertical="center"/>
    </xf>
    <xf numFmtId="165" fontId="9" fillId="0" borderId="6" applyAlignment="1" pivotButton="0" quotePrefix="0" xfId="6">
      <alignment vertical="center"/>
    </xf>
    <xf numFmtId="166" fontId="9" fillId="0" borderId="6" applyAlignment="1" pivotButton="0" quotePrefix="0" xfId="6">
      <alignment vertical="center"/>
    </xf>
    <xf numFmtId="0" fontId="9" fillId="0" borderId="7" applyAlignment="1" pivotButton="0" quotePrefix="0" xfId="6">
      <alignment horizontal="center" vertical="center"/>
    </xf>
    <xf numFmtId="0" fontId="9" fillId="0" borderId="0" applyAlignment="1" pivotButton="0" quotePrefix="0" xfId="6">
      <alignment horizontal="center" vertical="center"/>
    </xf>
    <xf numFmtId="0" fontId="9" fillId="0" borderId="0" applyAlignment="1" pivotButton="0" quotePrefix="0" xfId="6">
      <alignment vertical="center" wrapText="1"/>
    </xf>
    <xf numFmtId="0" fontId="9" fillId="0" borderId="0" applyAlignment="1" pivotButton="0" quotePrefix="0" xfId="6">
      <alignment vertical="center"/>
    </xf>
    <xf numFmtId="1" fontId="9" fillId="0" borderId="0" applyAlignment="1" pivotButton="0" quotePrefix="0" xfId="6">
      <alignment horizontal="center" vertical="center"/>
    </xf>
    <xf numFmtId="165" fontId="9" fillId="0" borderId="0" applyAlignment="1" pivotButton="0" quotePrefix="0" xfId="6">
      <alignment vertical="center"/>
    </xf>
    <xf numFmtId="166" fontId="9" fillId="0" borderId="0" applyAlignment="1" pivotButton="0" quotePrefix="0" xfId="6">
      <alignment vertical="center"/>
    </xf>
    <xf numFmtId="0" fontId="9" fillId="0" borderId="8" applyAlignment="1" pivotButton="0" quotePrefix="0" xfId="6">
      <alignment horizontal="center" vertical="center"/>
    </xf>
    <xf numFmtId="0" fontId="9" fillId="0" borderId="9" applyAlignment="1" pivotButton="0" quotePrefix="0" xfId="6">
      <alignment horizontal="center" vertical="center"/>
    </xf>
    <xf numFmtId="0" fontId="9" fillId="0" borderId="9" applyAlignment="1" pivotButton="0" quotePrefix="0" xfId="6">
      <alignment vertical="center" wrapText="1"/>
    </xf>
    <xf numFmtId="0" fontId="9" fillId="0" borderId="9" applyAlignment="1" pivotButton="0" quotePrefix="0" xfId="6">
      <alignment vertical="center"/>
    </xf>
    <xf numFmtId="1" fontId="9" fillId="0" borderId="9" applyAlignment="1" pivotButton="0" quotePrefix="0" xfId="6">
      <alignment horizontal="center" vertical="center"/>
    </xf>
    <xf numFmtId="165" fontId="9" fillId="0" borderId="9" applyAlignment="1" pivotButton="0" quotePrefix="0" xfId="6">
      <alignment vertical="center"/>
    </xf>
    <xf numFmtId="166" fontId="9" fillId="0" borderId="9" applyAlignment="1" pivotButton="0" quotePrefix="0" xfId="6">
      <alignment vertical="center"/>
    </xf>
    <xf numFmtId="0" fontId="0" fillId="0" borderId="1" pivotButton="0" quotePrefix="0" xfId="0"/>
    <xf numFmtId="0" fontId="0" fillId="9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justify" vertical="top"/>
    </xf>
    <xf numFmtId="164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" pivotButton="0" quotePrefix="0" xfId="0"/>
    <xf numFmtId="0" fontId="12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  <xf numFmtId="164" fontId="10" fillId="0" borderId="1" applyAlignment="1" pivotButton="0" quotePrefix="0" xfId="0">
      <alignment horizontal="left" vertical="top"/>
    </xf>
    <xf numFmtId="0" fontId="14" fillId="0" borderId="1" applyAlignment="1" pivotButton="0" quotePrefix="0" xfId="0">
      <alignment horizontal="left" vertical="top"/>
    </xf>
    <xf numFmtId="0" fontId="14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left" vertical="top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left" vertical="top"/>
    </xf>
    <xf numFmtId="167" fontId="1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7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top" wrapText="1"/>
    </xf>
    <xf numFmtId="10" fontId="1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justify" vertical="top"/>
    </xf>
    <xf numFmtId="0" fontId="17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14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center"/>
    </xf>
    <xf numFmtId="10" fontId="0" fillId="0" borderId="0" pivotButton="0" quotePrefix="0" xfId="1"/>
    <xf numFmtId="0" fontId="0" fillId="4" borderId="0" pivotButton="0" quotePrefix="0" xfId="0"/>
    <xf numFmtId="164" fontId="0" fillId="9" borderId="0" pivotButton="0" quotePrefix="0" xfId="0"/>
    <xf numFmtId="0" fontId="0" fillId="9" borderId="0" pivotButton="0" quotePrefix="0" xfId="0"/>
    <xf numFmtId="0" fontId="0" fillId="0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justify"/>
    </xf>
    <xf numFmtId="0" fontId="0" fillId="10" borderId="14" applyAlignment="1" pivotButton="0" quotePrefix="0" xfId="0">
      <alignment horizontal="center" vertical="justify"/>
    </xf>
    <xf numFmtId="164" fontId="0" fillId="9" borderId="0" applyAlignment="1" pivotButton="0" quotePrefix="0" xfId="0">
      <alignment vertical="center"/>
    </xf>
    <xf numFmtId="164" fontId="0" fillId="9" borderId="18" applyAlignment="1" pivotButton="0" quotePrefix="0" xfId="0">
      <alignment vertical="center"/>
    </xf>
    <xf numFmtId="0" fontId="0" fillId="9" borderId="19" applyAlignment="1" pivotButton="0" quotePrefix="0" xfId="0">
      <alignment horizontal="center" vertical="center"/>
    </xf>
    <xf numFmtId="0" fontId="0" fillId="9" borderId="19" applyAlignment="1" pivotButton="0" quotePrefix="0" xfId="0">
      <alignment horizontal="justify" vertical="top"/>
    </xf>
    <xf numFmtId="0" fontId="0" fillId="9" borderId="20" applyAlignment="1" pivotButton="0" quotePrefix="0" xfId="0">
      <alignment horizontal="center" vertical="center"/>
    </xf>
    <xf numFmtId="0" fontId="0" fillId="0" borderId="1" applyAlignment="1" pivotButton="0" quotePrefix="0" xfId="0">
      <alignment vertical="justify"/>
    </xf>
    <xf numFmtId="0" fontId="0" fillId="9" borderId="0" applyAlignment="1" pivotButton="0" quotePrefix="0" xfId="0">
      <alignment horizontal="center"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justify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justify"/>
    </xf>
    <xf numFmtId="0" fontId="10" fillId="0" borderId="1" applyAlignment="1" pivotButton="0" quotePrefix="0" xfId="0">
      <alignment vertical="justify"/>
    </xf>
    <xf numFmtId="164" fontId="0" fillId="4" borderId="0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justify"/>
    </xf>
    <xf numFmtId="0" fontId="10" fillId="0" borderId="1" applyAlignment="1" pivotButton="0" quotePrefix="0" xfId="0">
      <alignment vertical="distributed"/>
    </xf>
    <xf numFmtId="0" fontId="0" fillId="2" borderId="1" pivotButton="0" quotePrefix="0" xfId="0"/>
    <xf numFmtId="164" fontId="0" fillId="2" borderId="1" applyAlignment="1" pivotButton="0" quotePrefix="0" xfId="0">
      <alignment vertical="center"/>
    </xf>
    <xf numFmtId="164" fontId="0" fillId="2" borderId="1" applyAlignment="1" pivotButton="0" quotePrefix="0" xfId="0">
      <alignment vertical="justify"/>
    </xf>
    <xf numFmtId="0" fontId="0" fillId="0" borderId="0" applyAlignment="1" pivotButton="0" quotePrefix="0" xfId="0">
      <alignment vertical="justify"/>
    </xf>
    <xf numFmtId="16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justify"/>
    </xf>
    <xf numFmtId="0" fontId="10" fillId="0" borderId="1" applyAlignment="1" pivotButton="0" quotePrefix="0" xfId="0">
      <alignment vertical="justify" wrapText="1"/>
    </xf>
    <xf numFmtId="0" fontId="10" fillId="2" borderId="1" applyAlignment="1" pivotButton="0" quotePrefix="0" xfId="0">
      <alignment vertical="justify"/>
    </xf>
    <xf numFmtId="0" fontId="0" fillId="0" borderId="1" applyAlignment="1" pivotButton="0" quotePrefix="0" xfId="0">
      <alignment vertical="justify" wrapText="1"/>
    </xf>
    <xf numFmtId="169" fontId="0" fillId="0" borderId="1" applyAlignment="1" pivotButton="0" quotePrefix="0" xfId="2">
      <alignment horizontal="center" vertical="center"/>
    </xf>
    <xf numFmtId="0" fontId="0" fillId="10" borderId="1" applyAlignment="1" pivotButton="0" quotePrefix="0" xfId="0">
      <alignment horizontal="justify" vertical="center"/>
    </xf>
    <xf numFmtId="0" fontId="0" fillId="10" borderId="10" applyAlignment="1" pivotButton="0" quotePrefix="0" xfId="0">
      <alignment horizontal="justify" vertical="center"/>
    </xf>
    <xf numFmtId="0" fontId="0" fillId="10" borderId="10" applyAlignment="1" pivotButton="0" quotePrefix="0" xfId="0">
      <alignment horizontal="center" vertical="center"/>
    </xf>
    <xf numFmtId="0" fontId="0" fillId="10" borderId="10" applyAlignment="1" pivotButton="0" quotePrefix="0" xfId="0">
      <alignment vertical="justify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3" borderId="2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10" borderId="14" applyAlignment="1" pivotButton="0" quotePrefix="0" xfId="0">
      <alignment horizontal="center" vertical="justify"/>
    </xf>
    <xf numFmtId="0" fontId="0" fillId="10" borderId="12" applyAlignment="1" pivotButton="0" quotePrefix="0" xfId="0">
      <alignment horizontal="center" vertical="justify"/>
    </xf>
    <xf numFmtId="0" fontId="0" fillId="0" borderId="14" applyAlignment="1" pivotButton="0" quotePrefix="0" xfId="0">
      <alignment horizontal="justify" vertical="top"/>
    </xf>
    <xf numFmtId="0" fontId="0" fillId="0" borderId="12" applyAlignment="1" pivotButton="0" quotePrefix="0" xfId="0">
      <alignment horizontal="justify" vertical="top"/>
    </xf>
    <xf numFmtId="0" fontId="0" fillId="0" borderId="1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applyAlignment="1" pivotButton="0" quotePrefix="0" xfId="0">
      <alignment horizontal="center" vertical="center"/>
    </xf>
    <xf numFmtId="10" fontId="0" fillId="0" borderId="22" pivotButton="0" quotePrefix="0" xfId="0"/>
    <xf numFmtId="164" fontId="0" fillId="4" borderId="22" pivotButton="0" quotePrefix="0" xfId="0"/>
    <xf numFmtId="0" fontId="0" fillId="0" borderId="22" applyAlignment="1" pivotButton="0" quotePrefix="0" xfId="0">
      <alignment horizontal="center" vertical="center"/>
    </xf>
    <xf numFmtId="0" fontId="8" fillId="8" borderId="24" applyAlignment="1" pivotButton="0" quotePrefix="0" xfId="0">
      <alignment horizontal="center" vertical="center" wrapText="1"/>
    </xf>
    <xf numFmtId="0" fontId="8" fillId="8" borderId="25" applyAlignment="1" pivotButton="0" quotePrefix="0" xfId="0">
      <alignment horizontal="center" vertical="center" wrapText="1"/>
    </xf>
    <xf numFmtId="0" fontId="7" fillId="0" borderId="22" pivotButton="0" quotePrefix="0" xfId="0"/>
    <xf numFmtId="0" fontId="9" fillId="0" borderId="26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0" fontId="9" fillId="0" borderId="27" applyAlignment="1" pivotButton="0" quotePrefix="0" xfId="0">
      <alignment vertical="center"/>
    </xf>
    <xf numFmtId="1" fontId="9" fillId="0" borderId="27" applyAlignment="1" pivotButton="0" quotePrefix="0" xfId="0">
      <alignment horizontal="center" vertical="center"/>
    </xf>
    <xf numFmtId="165" fontId="9" fillId="0" borderId="27" applyAlignment="1" pivotButton="0" quotePrefix="0" xfId="0">
      <alignment vertical="center"/>
    </xf>
    <xf numFmtId="166" fontId="9" fillId="0" borderId="27" applyAlignment="1" pivotButton="0" quotePrefix="0" xfId="0">
      <alignment vertical="center"/>
    </xf>
    <xf numFmtId="0" fontId="9" fillId="0" borderId="28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/>
    </xf>
    <xf numFmtId="0" fontId="9" fillId="0" borderId="22" applyAlignment="1" pivotButton="0" quotePrefix="0" xfId="0">
      <alignment vertical="center" wrapText="1"/>
    </xf>
    <xf numFmtId="0" fontId="9" fillId="0" borderId="22" applyAlignment="1" pivotButton="0" quotePrefix="0" xfId="0">
      <alignment vertical="center"/>
    </xf>
    <xf numFmtId="1" fontId="9" fillId="0" borderId="22" applyAlignment="1" pivotButton="0" quotePrefix="0" xfId="0">
      <alignment horizontal="center" vertical="center"/>
    </xf>
    <xf numFmtId="165" fontId="9" fillId="0" borderId="22" applyAlignment="1" pivotButton="0" quotePrefix="0" xfId="0">
      <alignment vertical="center"/>
    </xf>
    <xf numFmtId="166" fontId="9" fillId="0" borderId="22" applyAlignment="1" pivotButton="0" quotePrefix="0" xfId="0">
      <alignment vertical="center"/>
    </xf>
    <xf numFmtId="0" fontId="9" fillId="0" borderId="29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9" fillId="0" borderId="30" applyAlignment="1" pivotButton="0" quotePrefix="0" xfId="0">
      <alignment vertical="center"/>
    </xf>
    <xf numFmtId="1" fontId="9" fillId="0" borderId="30" applyAlignment="1" pivotButton="0" quotePrefix="0" xfId="0">
      <alignment horizontal="center" vertical="center"/>
    </xf>
    <xf numFmtId="165" fontId="9" fillId="0" borderId="30" applyAlignment="1" pivotButton="0" quotePrefix="0" xfId="0">
      <alignment vertical="center"/>
    </xf>
    <xf numFmtId="166" fontId="9" fillId="0" borderId="30" applyAlignment="1" pivotButton="0" quotePrefix="0" xfId="0">
      <alignment vertical="center"/>
    </xf>
    <xf numFmtId="0" fontId="0" fillId="0" borderId="23" pivotButton="0" quotePrefix="0" xfId="0"/>
    <xf numFmtId="0" fontId="0" fillId="9" borderId="23" applyAlignment="1" pivotButton="0" quotePrefix="0" xfId="0">
      <alignment horizontal="center" vertical="center"/>
    </xf>
    <xf numFmtId="0" fontId="10" fillId="0" borderId="23" applyAlignment="1" pivotButton="0" quotePrefix="0" xfId="0">
      <alignment horizontal="justify" vertical="top"/>
    </xf>
    <xf numFmtId="164" fontId="0" fillId="0" borderId="23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0" fillId="0" borderId="23" pivotButton="0" quotePrefix="0" xfId="0"/>
    <xf numFmtId="0" fontId="12" fillId="8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top"/>
    </xf>
    <xf numFmtId="164" fontId="10" fillId="0" borderId="23" applyAlignment="1" pivotButton="0" quotePrefix="0" xfId="0">
      <alignment horizontal="left" vertical="top"/>
    </xf>
    <xf numFmtId="0" fontId="14" fillId="0" borderId="23" applyAlignment="1" pivotButton="0" quotePrefix="0" xfId="0">
      <alignment horizontal="left" vertical="top"/>
    </xf>
    <xf numFmtId="0" fontId="14" fillId="0" borderId="23" applyAlignment="1" pivotButton="0" quotePrefix="0" xfId="0">
      <alignment horizontal="center" vertical="top"/>
    </xf>
    <xf numFmtId="164" fontId="0" fillId="0" borderId="22" applyAlignment="1" pivotButton="0" quotePrefix="0" xfId="0">
      <alignment horizontal="left" vertical="top"/>
    </xf>
    <xf numFmtId="167" fontId="0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left" vertical="top"/>
    </xf>
    <xf numFmtId="167" fontId="10" fillId="0" borderId="22" applyAlignment="1" pivotButton="0" quotePrefix="0" xfId="0">
      <alignment horizontal="center" vertical="center"/>
    </xf>
    <xf numFmtId="168" fontId="0" fillId="0" borderId="22" applyAlignment="1" pivotButton="0" quotePrefix="0" xfId="0">
      <alignment horizontal="center" vertical="center"/>
    </xf>
    <xf numFmtId="167" fontId="15" fillId="0" borderId="22" applyAlignment="1" pivotButton="0" quotePrefix="0" xfId="0">
      <alignment horizontal="center" vertical="center"/>
    </xf>
    <xf numFmtId="164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left" vertical="top" wrapText="1"/>
    </xf>
    <xf numFmtId="10" fontId="10" fillId="0" borderId="22" applyAlignment="1" pivotButton="0" quotePrefix="0" xfId="0">
      <alignment horizontal="center" vertical="center"/>
    </xf>
    <xf numFmtId="10" fontId="0" fillId="0" borderId="22" applyAlignment="1" pivotButton="0" quotePrefix="0" xfId="0">
      <alignment horizontal="center" vertical="center"/>
    </xf>
    <xf numFmtId="9" fontId="0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left" vertical="top"/>
    </xf>
    <xf numFmtId="0" fontId="15" fillId="0" borderId="22" applyAlignment="1" pivotButton="0" quotePrefix="0" xfId="0">
      <alignment horizontal="left" vertical="top"/>
    </xf>
    <xf numFmtId="0" fontId="17" fillId="6" borderId="22" applyAlignment="1" pivotButton="0" quotePrefix="0" xfId="0">
      <alignment horizontal="justify" vertical="top"/>
    </xf>
    <xf numFmtId="0" fontId="17" fillId="6" borderId="22" applyAlignment="1" pivotButton="0" quotePrefix="0" xfId="0">
      <alignment horizontal="center" vertical="top"/>
    </xf>
    <xf numFmtId="0" fontId="0" fillId="6" borderId="22" applyAlignment="1" pivotButton="0" quotePrefix="0" xfId="0">
      <alignment horizontal="center" vertical="top"/>
    </xf>
    <xf numFmtId="0" fontId="14" fillId="6" borderId="22" applyAlignment="1" pivotButton="0" quotePrefix="0" xfId="0">
      <alignment horizontal="center" vertical="top"/>
    </xf>
    <xf numFmtId="0" fontId="0" fillId="6" borderId="22" applyAlignment="1" pivotButton="0" quotePrefix="0" xfId="0">
      <alignment horizontal="center" vertical="center"/>
    </xf>
    <xf numFmtId="0" fontId="0" fillId="4" borderId="22" pivotButton="0" quotePrefix="0" xfId="0"/>
    <xf numFmtId="164" fontId="0" fillId="9" borderId="22" pivotButton="0" quotePrefix="0" xfId="0"/>
    <xf numFmtId="0" fontId="0" fillId="9" borderId="22" pivotButton="0" quotePrefix="0" xfId="0"/>
    <xf numFmtId="0" fontId="0" fillId="0" borderId="31" applyAlignment="1" pivotButton="0" quotePrefix="0" xfId="0">
      <alignment horizontal="center" vertical="center"/>
    </xf>
    <xf numFmtId="164" fontId="0" fillId="0" borderId="23" applyAlignment="1" pivotButton="0" quotePrefix="0" xfId="0">
      <alignment horizontal="right" vertical="center"/>
    </xf>
    <xf numFmtId="0" fontId="0" fillId="0" borderId="32" applyAlignment="1" pivotButton="0" quotePrefix="0" xfId="0">
      <alignment horizontal="center" vertical="center"/>
    </xf>
    <xf numFmtId="0" fontId="0" fillId="10" borderId="33" applyAlignment="1" pivotButton="0" quotePrefix="0" xfId="0">
      <alignment horizontal="center" vertical="center"/>
    </xf>
    <xf numFmtId="0" fontId="0" fillId="10" borderId="23" applyAlignment="1" pivotButton="0" quotePrefix="0" xfId="0">
      <alignment horizontal="center" vertical="center"/>
    </xf>
    <xf numFmtId="0" fontId="0" fillId="10" borderId="23" applyAlignment="1" pivotButton="0" quotePrefix="0" xfId="0">
      <alignment vertical="justify"/>
    </xf>
    <xf numFmtId="0" fontId="0" fillId="10" borderId="34" applyAlignment="1" pivotButton="0" quotePrefix="0" xfId="0">
      <alignment horizontal="center" vertical="justify"/>
    </xf>
    <xf numFmtId="164" fontId="0" fillId="9" borderId="22" applyAlignment="1" pivotButton="0" quotePrefix="0" xfId="0">
      <alignment vertical="center"/>
    </xf>
    <xf numFmtId="164" fontId="0" fillId="9" borderId="35" applyAlignment="1" pivotButton="0" quotePrefix="0" xfId="0">
      <alignment vertical="center"/>
    </xf>
    <xf numFmtId="0" fontId="0" fillId="9" borderId="36" applyAlignment="1" pivotButton="0" quotePrefix="0" xfId="0">
      <alignment horizontal="center" vertical="center"/>
    </xf>
    <xf numFmtId="0" fontId="0" fillId="9" borderId="36" applyAlignment="1" pivotButton="0" quotePrefix="0" xfId="0">
      <alignment horizontal="justify" vertical="top"/>
    </xf>
    <xf numFmtId="0" fontId="0" fillId="9" borderId="37" applyAlignment="1" pivotButton="0" quotePrefix="0" xfId="0">
      <alignment horizontal="center" vertical="center"/>
    </xf>
    <xf numFmtId="0" fontId="0" fillId="0" borderId="23" applyAlignment="1" pivotButton="0" quotePrefix="0" xfId="0">
      <alignment vertical="justify"/>
    </xf>
    <xf numFmtId="0" fontId="0" fillId="9" borderId="22" applyAlignment="1" pivotButton="0" quotePrefix="0" xfId="0">
      <alignment horizontal="center" vertical="center"/>
    </xf>
    <xf numFmtId="164" fontId="0" fillId="9" borderId="23" applyAlignment="1" pivotButton="0" quotePrefix="0" xfId="0">
      <alignment vertical="center"/>
    </xf>
    <xf numFmtId="0" fontId="0" fillId="9" borderId="23" applyAlignment="1" pivotButton="0" quotePrefix="0" xfId="0">
      <alignment vertical="justify"/>
    </xf>
    <xf numFmtId="0" fontId="0" fillId="2" borderId="23" applyAlignment="1" pivotButton="0" quotePrefix="0" xfId="0">
      <alignment horizontal="center" vertical="center"/>
    </xf>
    <xf numFmtId="0" fontId="0" fillId="2" borderId="23" applyAlignment="1" pivotButton="0" quotePrefix="0" xfId="0">
      <alignment vertical="justify"/>
    </xf>
    <xf numFmtId="0" fontId="10" fillId="0" borderId="23" applyAlignment="1" pivotButton="0" quotePrefix="0" xfId="0">
      <alignment vertical="justify"/>
    </xf>
    <xf numFmtId="164" fontId="0" fillId="4" borderId="22" applyAlignment="1" pivotButton="0" quotePrefix="0" xfId="0">
      <alignment vertical="center"/>
    </xf>
    <xf numFmtId="164" fontId="0" fillId="4" borderId="23" applyAlignment="1" pivotButton="0" quotePrefix="0" xfId="0">
      <alignment vertical="center"/>
    </xf>
    <xf numFmtId="0" fontId="0" fillId="4" borderId="23" applyAlignment="1" pivotButton="0" quotePrefix="0" xfId="0">
      <alignment horizontal="center" vertical="center"/>
    </xf>
    <xf numFmtId="0" fontId="0" fillId="4" borderId="23" applyAlignment="1" pivotButton="0" quotePrefix="0" xfId="0">
      <alignment vertical="justify"/>
    </xf>
    <xf numFmtId="0" fontId="10" fillId="0" borderId="23" applyAlignment="1" pivotButton="0" quotePrefix="0" xfId="0">
      <alignment vertical="distributed"/>
    </xf>
    <xf numFmtId="0" fontId="0" fillId="2" borderId="23" pivotButton="0" quotePrefix="0" xfId="0"/>
    <xf numFmtId="164" fontId="0" fillId="2" borderId="23" applyAlignment="1" pivotButton="0" quotePrefix="0" xfId="0">
      <alignment vertical="center"/>
    </xf>
    <xf numFmtId="164" fontId="0" fillId="2" borderId="23" applyAlignment="1" pivotButton="0" quotePrefix="0" xfId="0">
      <alignment vertical="justify"/>
    </xf>
    <xf numFmtId="0" fontId="0" fillId="0" borderId="22" applyAlignment="1" pivotButton="0" quotePrefix="0" xfId="0">
      <alignment vertical="justify"/>
    </xf>
    <xf numFmtId="164" fontId="0" fillId="5" borderId="22" applyAlignment="1" pivotButton="0" quotePrefix="0" xfId="0">
      <alignment vertical="center"/>
    </xf>
    <xf numFmtId="0" fontId="0" fillId="5" borderId="22" applyAlignment="1" pivotButton="0" quotePrefix="0" xfId="0">
      <alignment horizontal="center" vertical="center"/>
    </xf>
    <xf numFmtId="0" fontId="0" fillId="5" borderId="22" applyAlignment="1" pivotButton="0" quotePrefix="0" xfId="0">
      <alignment vertical="justify"/>
    </xf>
    <xf numFmtId="0" fontId="10" fillId="0" borderId="23" applyAlignment="1" pivotButton="0" quotePrefix="0" xfId="0">
      <alignment vertical="justify" wrapText="1"/>
    </xf>
    <xf numFmtId="0" fontId="10" fillId="2" borderId="23" applyAlignment="1" pivotButton="0" quotePrefix="0" xfId="0">
      <alignment vertical="justify"/>
    </xf>
    <xf numFmtId="0" fontId="0" fillId="0" borderId="23" applyAlignment="1" pivotButton="0" quotePrefix="0" xfId="0">
      <alignment vertical="justify" wrapText="1"/>
    </xf>
    <xf numFmtId="169" fontId="0" fillId="0" borderId="23" applyAlignment="1" pivotButton="0" quotePrefix="0" xfId="0">
      <alignment horizontal="center" vertical="center"/>
    </xf>
    <xf numFmtId="0" fontId="0" fillId="10" borderId="23" applyAlignment="1" pivotButton="0" quotePrefix="0" xfId="0">
      <alignment horizontal="justify" vertical="center"/>
    </xf>
    <xf numFmtId="0" fontId="0" fillId="10" borderId="38" applyAlignment="1" pivotButton="0" quotePrefix="0" xfId="0">
      <alignment horizontal="justify" vertical="center"/>
    </xf>
    <xf numFmtId="0" fontId="0" fillId="10" borderId="38" applyAlignment="1" pivotButton="0" quotePrefix="0" xfId="0">
      <alignment horizontal="center" vertical="center"/>
    </xf>
    <xf numFmtId="0" fontId="0" fillId="10" borderId="38" applyAlignment="1" pivotButton="0" quotePrefix="0" xfId="0">
      <alignment vertical="justify"/>
    </xf>
    <xf numFmtId="0" fontId="5" fillId="0" borderId="23" applyAlignment="1" pivotButton="0" quotePrefix="0" xfId="0">
      <alignment horizontal="left" vertical="top"/>
    </xf>
    <xf numFmtId="0" fontId="4" fillId="0" borderId="23" applyAlignment="1" pivotButton="0" quotePrefix="0" xfId="0">
      <alignment horizontal="left" vertical="top"/>
    </xf>
    <xf numFmtId="0" fontId="2" fillId="5" borderId="23" applyAlignment="1" pivotButton="0" quotePrefix="0" xfId="0">
      <alignment horizontal="center"/>
    </xf>
    <xf numFmtId="0" fontId="0" fillId="7" borderId="23" applyAlignment="1" pivotButton="0" quotePrefix="0" xfId="0">
      <alignment horizontal="left"/>
    </xf>
    <xf numFmtId="0" fontId="0" fillId="3" borderId="39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40" applyAlignment="1" pivotButton="0" quotePrefix="0" xfId="0">
      <alignment horizontal="center" vertical="center"/>
    </xf>
    <xf numFmtId="0" fontId="0" fillId="3" borderId="31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0" fillId="10" borderId="32" applyAlignment="1" pivotButton="0" quotePrefix="0" xfId="0">
      <alignment horizontal="center" vertical="justify"/>
    </xf>
    <xf numFmtId="0" fontId="0" fillId="0" borderId="34" applyAlignment="1" pivotButton="0" quotePrefix="0" xfId="0">
      <alignment horizontal="justify" vertical="top"/>
    </xf>
    <xf numFmtId="0" fontId="0" fillId="0" borderId="32" applyAlignment="1" pivotButton="0" quotePrefix="0" xfId="0">
      <alignment horizontal="justify" vertical="top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11" borderId="0" pivotButton="0" quotePrefix="0" xfId="0"/>
    <xf numFmtId="0" fontId="19" fillId="11" borderId="0" pivotButton="0" quotePrefix="0" xfId="0"/>
    <xf numFmtId="0" fontId="19" fillId="11" borderId="0" applyAlignment="1" pivotButton="0" quotePrefix="0" xfId="0">
      <alignment wrapText="1"/>
    </xf>
    <xf numFmtId="0" fontId="19" fillId="11" borderId="0" applyAlignment="1" pivotButton="0" quotePrefix="0" xfId="0">
      <alignment horizontal="center" wrapText="1"/>
    </xf>
    <xf numFmtId="0" fontId="19" fillId="11" borderId="0" applyAlignment="1" pivotButton="0" quotePrefix="0" xfId="0">
      <alignment horizontal="center" vertical="center" wrapText="1"/>
    </xf>
    <xf numFmtId="0" fontId="0" fillId="11" borderId="22" pivotButton="0" quotePrefix="0" xfId="0"/>
    <xf numFmtId="0" fontId="19" fillId="11" borderId="22" pivotButton="0" quotePrefix="0" xfId="0"/>
    <xf numFmtId="0" fontId="19" fillId="11" borderId="22" applyAlignment="1" pivotButton="0" quotePrefix="0" xfId="0">
      <alignment wrapText="1"/>
    </xf>
    <xf numFmtId="0" fontId="19" fillId="11" borderId="22" applyAlignment="1" pivotButton="0" quotePrefix="0" xfId="0">
      <alignment horizontal="center" wrapText="1"/>
    </xf>
    <xf numFmtId="0" fontId="19" fillId="11" borderId="2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0" fillId="0" borderId="22" applyAlignment="1" pivotButton="0" quotePrefix="0" xfId="0">
      <alignment wrapText="1"/>
    </xf>
    <xf numFmtId="0" fontId="19" fillId="11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9" fillId="11" borderId="22" applyAlignment="1" pivotButton="0" quotePrefix="0" xfId="0">
      <alignment horizontal="center" vertical="top" wrapText="1"/>
    </xf>
    <xf numFmtId="0" fontId="0" fillId="0" borderId="22" applyAlignment="1" pivotButton="0" quotePrefix="0" xfId="0">
      <alignment vertical="top" wrapText="1"/>
    </xf>
    <xf numFmtId="4" fontId="0" fillId="0" borderId="22" applyAlignment="1" pivotButton="0" quotePrefix="0" xfId="0">
      <alignment vertical="top" wrapText="1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4" fontId="0" fillId="0" borderId="1" pivotButton="0" quotePrefix="0" xfId="0"/>
    <xf numFmtId="4" fontId="0" fillId="5" borderId="0" applyAlignment="1" pivotButton="0" quotePrefix="0" xfId="0">
      <alignment vertical="center"/>
    </xf>
    <xf numFmtId="0" fontId="0" fillId="0" borderId="45" pivotButton="0" quotePrefix="0" xfId="0"/>
    <xf numFmtId="0" fontId="0" fillId="0" borderId="32" pivotButton="0" quotePrefix="0" xfId="0"/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4" fontId="0" fillId="0" borderId="1" pivotButton="0" quotePrefix="0" xfId="0"/>
    <xf numFmtId="4" fontId="0" fillId="5" borderId="0" applyAlignment="1" pivotButton="0" quotePrefix="0" xfId="0">
      <alignment vertical="center"/>
    </xf>
    <xf numFmtId="0" fontId="0" fillId="0" borderId="31" pivotButton="0" quotePrefix="0" xfId="0"/>
    <xf numFmtId="0" fontId="0" fillId="10" borderId="23" applyAlignment="1" pivotButton="0" quotePrefix="0" xfId="0">
      <alignment horizontal="center" vertical="justify"/>
    </xf>
    <xf numFmtId="0" fontId="0" fillId="0" borderId="23" applyAlignment="1" pivotButton="0" quotePrefix="0" xfId="0">
      <alignment horizontal="justify" vertical="top"/>
    </xf>
    <xf numFmtId="0" fontId="0" fillId="0" borderId="46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7" pivotButton="0" quotePrefix="0" xfId="0"/>
    <xf numFmtId="167" fontId="15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left" vertical="top"/>
    </xf>
    <xf numFmtId="4" fontId="0" fillId="0" borderId="0" applyAlignment="1" pivotButton="0" quotePrefix="0" xfId="0">
      <alignment vertical="top" wrapText="1"/>
    </xf>
  </cellXfs>
  <cellStyles count="7">
    <cellStyle name="Normal" xfId="0"/>
    <cellStyle name="Porcentagem" xfId="1"/>
    <cellStyle name="Moeda" xfId="2"/>
    <cellStyle name="Moeda 2" xfId="3"/>
    <cellStyle name="Moeda 3" xfId="4"/>
    <cellStyle name="Moeda 2 2" xfId="5"/>
    <cellStyle name="Normal 2" xfId="6"/>
  </cellStyles>
  <dxfs count="1">
    <dxf>
      <numFmt numFmtId="0" formatCode="General"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Rodrigo</author>
  </authors>
  <commentList>
    <comment ref="G193" authorId="0" shapeId="0">
      <text>
        <t>20% REFERENTE A INSS
3% ACIDENTES DE TRABALHO
5,8% SESC/SESI/SENAI</t>
      </text>
    </comment>
    <comment ref="J193" authorId="0" shapeId="0">
      <text>
        <t>20% REFERENTE A INSS
3% ACIDENTES DE TRABALHO
5,8% SESC/SESI/SENAI</t>
      </text>
    </comment>
    <comment ref="M193" authorId="0" shapeId="0">
      <text>
        <t>20% REFERENTE A INSS
3% ACIDENTES DE TRABALHO
5,8% SESC/SESI/SENAI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9</col>
      <colOff>520700</colOff>
      <row>1</row>
      <rowOff>4416</rowOff>
    </from>
    <ext cx="4328472" cy="3396791"/>
    <pic>
      <nvPicPr>
        <cNvPr id="1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191267</colOff>
      <row>20</row>
      <rowOff>152400</rowOff>
    </from>
    <ext cx="4025134" cy="2192620"/>
    <pic>
      <nvPicPr>
        <cNvPr id="2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208199</colOff>
      <row>36</row>
      <rowOff>107950</rowOff>
    </from>
    <ext cx="4044010" cy="1629212"/>
    <pic>
      <nvPicPr>
        <cNvPr id="3" name="/xl/media/image3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247650</colOff>
      <row>48</row>
      <rowOff>0</rowOff>
    </from>
    <ext cx="3978015" cy="1883187"/>
    <pic>
      <nvPicPr>
        <cNvPr id="4" name="/xl/media/image4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234950</colOff>
      <row>58</row>
      <rowOff>69361</rowOff>
    </from>
    <ext cx="4042656" cy="2686065"/>
    <pic>
      <nvPicPr>
        <cNvPr id="5" name="/xl/media/image5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203200</colOff>
      <row>73</row>
      <rowOff>61711</rowOff>
    </from>
    <ext cx="4014144" cy="2491574"/>
    <pic>
      <nvPicPr>
        <cNvPr id="6" name="/xl/media/image6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203200</colOff>
      <row>86</row>
      <rowOff>171343</rowOff>
    </from>
    <ext cx="4087176" cy="2524818"/>
    <pic>
      <nvPicPr>
        <cNvPr id="7" name="/xl/media/image7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152400</colOff>
      <row>100</row>
      <rowOff>147320</rowOff>
    </from>
    <ext cx="4179324" cy="837135"/>
    <pic>
      <nvPicPr>
        <cNvPr id="8" name="/xl/media/image8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elaMateriais" displayName="TabelaMateriais" ref="A1:I138" headerRowCount="1">
  <tableColumns count="9">
    <tableColumn id="1" name="Item"/>
    <tableColumn id="2" name="Número"/>
    <tableColumn id="3" name="Descrição das mercadorias"/>
    <tableColumn id="4" name="Ref. Fab."/>
    <tableColumn id="5" name="NCM"/>
    <tableColumn id="6" name="Un"/>
    <tableColumn id="7" name="Qtde"/>
    <tableColumn id="8" name="R$ Unit."/>
    <tableColumn id="10" name="R$ Total"/>
  </tableColumns>
  <tableStyleInfo name="TableStyleMedium2" showRowStripes="1"/>
</table>
</file>

<file path=xl/tables/table2.xml><?xml version="1.0" encoding="utf-8"?>
<table xmlns="http://schemas.openxmlformats.org/spreadsheetml/2006/main" id="2" name="TabelaMateriais17017" displayName="TabelaMateriais17017" ref="A146:I279" headerRowCount="1">
  <tableColumns count="9">
    <tableColumn id="1" name="Categoria"/>
    <tableColumn id="2" name="Subgrupo"/>
    <tableColumn id="3" name="Item / Descrição"/>
    <tableColumn id="4" name="ETS"/>
    <tableColumn id="5" name="Quantidade"/>
    <tableColumn id="6" name="Individual"/>
    <tableColumn id="7" name="Turma"/>
    <tableColumn id="8" name="Ensaio"/>
    <tableColumn id="9" name="Página PDF"/>
  </tableColumns>
  <tableStyleInfo name="TableStyleMedium2" showRowStripes="1"/>
</table>
</file>

<file path=xl/tables/table3.xml><?xml version="1.0" encoding="utf-8"?>
<table xmlns="http://schemas.openxmlformats.org/spreadsheetml/2006/main" id="3" name="TabelaConferenciaValores" displayName="TabelaConferenciaValores" ref="A1:L101" headerRowCount="1">
  <tableColumns count="12">
    <tableColumn id="1" name="Status"/>
    <tableColumn id="2" name="Linha destino"/>
    <tableColumn id="3" name="SQ"/>
    <tableColumn id="4" name="Descrição destino"/>
    <tableColumn id="5" name="QTD destino"/>
    <tableColumn id="6" name="Valor unit. preenchido"/>
    <tableColumn id="7" name="Item origem"/>
    <tableColumn id="8" name="Descrição origem"/>
    <tableColumn id="9" name="Un origem"/>
    <tableColumn id="10" name="QTD origem"/>
    <tableColumn id="11" name="R$ Unit. origem"/>
    <tableColumn id="12" name="R$ Total origem"/>
  </tableColumns>
  <tableStyleInfo name="TableStyleMedium2" showRowStripes="1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selection activeCell="A1" sqref="A1"/>
    </sheetView>
  </sheetViews>
  <sheetFormatPr baseColWidth="8" defaultRowHeight="14.39999961853027"/>
  <cols>
    <col width="4.21875" customWidth="1" min="1" max="1"/>
    <col width="57.44140625" customWidth="1" min="2" max="2"/>
    <col width="18.5546875" customWidth="1" min="5" max="5"/>
    <col width="15.44140625" customWidth="1" min="6" max="6"/>
    <col width="13.44140625" customWidth="1" min="7" max="7"/>
    <col width="8.44140625" customWidth="1" min="25" max="25"/>
  </cols>
  <sheetData>
    <row r="1" ht="17.39999961853027" customHeight="1">
      <c r="A1" s="222" t="inlineStr">
        <is>
          <t>BASE INFORMAÇÕES - LICITAÇÃO ELETRÔNICA COPEL DIS Nº SGD210011/2021</t>
        </is>
      </c>
      <c r="B1" s="260" t="n"/>
      <c r="C1" s="260" t="n"/>
      <c r="D1" s="260" t="n"/>
      <c r="E1" s="260" t="n"/>
      <c r="F1" s="261" t="n"/>
    </row>
    <row r="2">
      <c r="A2" s="223" t="inlineStr">
        <is>
          <t>2. EQUIPE MANUTENÇÃO LINHA MORTA  POR TURMA.</t>
        </is>
      </c>
      <c r="B2" s="260" t="n"/>
      <c r="C2" s="260" t="n"/>
      <c r="D2" s="260" t="n"/>
      <c r="E2" s="260" t="n"/>
      <c r="F2" s="261" t="n"/>
    </row>
    <row r="3">
      <c r="A3" s="100" t="inlineStr">
        <is>
          <t>SQ</t>
        </is>
      </c>
      <c r="B3" s="101" t="inlineStr">
        <is>
          <t>EQUIPAMENTOS E FERRAMENTAS DE USO COLETIVO 3 elementos</t>
        </is>
      </c>
      <c r="C3" s="100" t="inlineStr">
        <is>
          <t>ENSAIO</t>
        </is>
      </c>
      <c r="D3" s="100" t="inlineStr">
        <is>
          <t>QTD</t>
        </is>
      </c>
      <c r="E3" s="99" t="inlineStr">
        <is>
          <t>VALOR UNIT</t>
        </is>
      </c>
      <c r="F3" s="98" t="inlineStr">
        <is>
          <t>VALOR TOTAL</t>
        </is>
      </c>
    </row>
    <row r="4" ht="28.79999923706055" customHeight="1">
      <c r="A4" s="1" t="n">
        <v>1</v>
      </c>
      <c r="B4" s="75" t="inlineStr">
        <is>
          <t>Alicate compressão hidráulica 12 t - Acionamento Manual NTC 890020</t>
        </is>
      </c>
      <c r="C4" s="1" t="inlineStr">
        <is>
          <t>EM</t>
        </is>
      </c>
      <c r="D4" s="1" t="n">
        <v>1</v>
      </c>
      <c r="E4" s="262" t="n">
        <v>4990</v>
      </c>
      <c r="F4" s="263">
        <f>E4*D4</f>
        <v/>
      </c>
      <c r="G4" s="4" t="inlineStr">
        <is>
          <t>L</t>
        </is>
      </c>
    </row>
    <row r="5">
      <c r="A5" s="1" t="n">
        <v>2</v>
      </c>
      <c r="B5" s="29" t="inlineStr">
        <is>
          <t>Alicate compressão mecânica 4 t</t>
        </is>
      </c>
      <c r="C5" s="1" t="n"/>
      <c r="D5" s="1" t="n">
        <v>1</v>
      </c>
      <c r="E5" s="264" t="n">
        <v>1250</v>
      </c>
      <c r="F5" s="264">
        <f>E5*D5</f>
        <v/>
      </c>
      <c r="G5" s="4" t="inlineStr">
        <is>
          <t>L</t>
        </is>
      </c>
    </row>
    <row r="6" ht="28.79999923706055" customHeight="1">
      <c r="A6" s="1" t="n">
        <v>3</v>
      </c>
      <c r="B6" s="75" t="inlineStr">
        <is>
          <t>Alicate prendedor com lâmina deslizante (bomba d’água) de 305 mm de comprimento</t>
        </is>
      </c>
      <c r="C6" s="1" t="n"/>
      <c r="D6" s="1" t="n">
        <v>1</v>
      </c>
      <c r="E6" s="263" t="n">
        <v>138</v>
      </c>
      <c r="F6" s="263">
        <f>E6*D6</f>
        <v/>
      </c>
      <c r="G6" s="4" t="inlineStr">
        <is>
          <t xml:space="preserve">a </t>
        </is>
      </c>
    </row>
    <row r="7">
      <c r="A7" s="1" t="n">
        <v>4</v>
      </c>
      <c r="B7" s="75" t="inlineStr">
        <is>
          <t>Alicate tipo algema para corte de cabo CAA</t>
        </is>
      </c>
      <c r="C7" s="1" t="n"/>
      <c r="D7" s="1" t="n">
        <v>1</v>
      </c>
      <c r="E7" s="263" t="n">
        <v>1190</v>
      </c>
      <c r="F7" s="264">
        <f>E7*D7</f>
        <v/>
      </c>
      <c r="G7" s="4" t="inlineStr">
        <is>
          <t>L</t>
        </is>
      </c>
    </row>
    <row r="8">
      <c r="A8" s="1" t="n">
        <v>5</v>
      </c>
      <c r="B8" s="75" t="inlineStr">
        <is>
          <t>Alicate universal (200mm) cobertura isolada</t>
        </is>
      </c>
      <c r="C8" s="1" t="inlineStr">
        <is>
          <t>EE</t>
        </is>
      </c>
      <c r="D8" s="1" t="n">
        <v>3</v>
      </c>
      <c r="E8" s="263" t="n">
        <v>46</v>
      </c>
      <c r="F8" s="264">
        <f>E8*D8</f>
        <v/>
      </c>
      <c r="G8" s="4" t="inlineStr">
        <is>
          <t>L</t>
        </is>
      </c>
    </row>
    <row r="9">
      <c r="A9" s="1" t="n">
        <v>6</v>
      </c>
      <c r="B9" s="75" t="inlineStr">
        <is>
          <t>Arco de serra (300 mm) com lâmina</t>
        </is>
      </c>
      <c r="C9" s="1" t="n"/>
      <c r="D9" s="1" t="n">
        <v>1</v>
      </c>
      <c r="E9" s="263" t="n">
        <v>25</v>
      </c>
      <c r="F9" s="264">
        <f>E9*D9</f>
        <v/>
      </c>
      <c r="G9" s="4" t="inlineStr">
        <is>
          <t>L</t>
        </is>
      </c>
    </row>
    <row r="10">
      <c r="A10" s="1" t="n">
        <v>7</v>
      </c>
      <c r="B10" s="75" t="inlineStr">
        <is>
          <t>Balde de lona para içar materiais</t>
        </is>
      </c>
      <c r="C10" s="1" t="n"/>
      <c r="D10" s="1" t="n">
        <v>2</v>
      </c>
      <c r="E10" s="263" t="n">
        <v>46</v>
      </c>
      <c r="F10" s="264">
        <f>E10*D10</f>
        <v/>
      </c>
      <c r="G10" s="4" t="inlineStr">
        <is>
          <t>L</t>
        </is>
      </c>
    </row>
    <row r="11">
      <c r="A11" s="1" t="n">
        <v>8</v>
      </c>
      <c r="B11" s="75" t="inlineStr">
        <is>
          <t>Bandeira sinalizadora de 300 X 300 mm 1073</t>
        </is>
      </c>
      <c r="C11" s="1" t="n"/>
      <c r="D11" s="1" t="n">
        <v>1</v>
      </c>
      <c r="E11" s="263" t="n">
        <v>23.5</v>
      </c>
      <c r="F11" s="264">
        <f>E11*D11</f>
        <v/>
      </c>
      <c r="G11" s="4" t="inlineStr">
        <is>
          <t>L</t>
        </is>
      </c>
    </row>
    <row r="12">
      <c r="A12" s="1" t="n">
        <v>9</v>
      </c>
      <c r="B12" s="75" t="inlineStr">
        <is>
          <t>Bandeja para ferramentas</t>
        </is>
      </c>
      <c r="C12" s="1" t="n"/>
      <c r="D12" s="1" t="n">
        <v>1</v>
      </c>
      <c r="E12" s="263" t="n"/>
      <c r="F12" s="264">
        <f>E12*D12</f>
        <v/>
      </c>
      <c r="G12" s="4" t="inlineStr">
        <is>
          <t>L</t>
        </is>
      </c>
    </row>
    <row r="13">
      <c r="A13" s="1" t="n">
        <v>10</v>
      </c>
      <c r="B13" s="29" t="inlineStr">
        <is>
          <t>Bastão de tração com espiral 32 x 700 mm</t>
        </is>
      </c>
      <c r="C13" s="1" t="inlineStr">
        <is>
          <t>EE</t>
        </is>
      </c>
      <c r="D13" s="1" t="n">
        <v>3</v>
      </c>
      <c r="E13" s="263" t="n">
        <v>890</v>
      </c>
      <c r="F13" s="264">
        <f>E13*D13</f>
        <v/>
      </c>
      <c r="G13" s="4" t="inlineStr">
        <is>
          <t>L</t>
        </is>
      </c>
    </row>
    <row r="14">
      <c r="A14" s="1" t="n">
        <v>11</v>
      </c>
      <c r="B14" s="75" t="inlineStr">
        <is>
          <t>Bastão garra 38 x 2345 mm</t>
        </is>
      </c>
      <c r="C14" s="1" t="inlineStr">
        <is>
          <t>EE</t>
        </is>
      </c>
      <c r="D14" s="1" t="n">
        <v>1</v>
      </c>
      <c r="E14" s="263" t="n">
        <v>1790</v>
      </c>
      <c r="F14" s="264">
        <f>E14*D14</f>
        <v/>
      </c>
      <c r="G14" s="4" t="inlineStr">
        <is>
          <t>L</t>
        </is>
      </c>
    </row>
    <row r="15">
      <c r="A15" s="1" t="n">
        <v>12</v>
      </c>
      <c r="B15" s="75" t="inlineStr">
        <is>
          <t>Bastão garra 64 x 3510 mm</t>
        </is>
      </c>
      <c r="C15" s="1" t="inlineStr">
        <is>
          <t>EE</t>
        </is>
      </c>
      <c r="D15" s="1" t="n">
        <v>1</v>
      </c>
      <c r="E15" s="263" t="n">
        <v>2980</v>
      </c>
      <c r="F15" s="264">
        <f>E15*D15</f>
        <v/>
      </c>
      <c r="G15" s="4" t="inlineStr">
        <is>
          <t>L</t>
        </is>
      </c>
    </row>
    <row r="16">
      <c r="A16" s="1" t="n">
        <v>13</v>
      </c>
      <c r="B16" s="29" t="inlineStr">
        <is>
          <t>Bastão universal 32 x 2550 mm</t>
        </is>
      </c>
      <c r="C16" s="1" t="inlineStr">
        <is>
          <t>EE</t>
        </is>
      </c>
      <c r="D16" s="1" t="n">
        <v>1</v>
      </c>
      <c r="E16" s="263" t="n">
        <v>510</v>
      </c>
      <c r="F16" s="264">
        <f>E16*D16</f>
        <v/>
      </c>
      <c r="G16" s="4" t="inlineStr">
        <is>
          <t>L</t>
        </is>
      </c>
    </row>
    <row r="17">
      <c r="A17" s="1" t="n">
        <v>14</v>
      </c>
      <c r="B17" s="75" t="inlineStr">
        <is>
          <t>Binóculo</t>
        </is>
      </c>
      <c r="C17" s="1" t="n"/>
      <c r="D17" s="1" t="n">
        <v>1</v>
      </c>
      <c r="E17" s="263" t="n"/>
      <c r="F17" s="264">
        <f>E17*D17</f>
        <v/>
      </c>
      <c r="G17" s="4" t="inlineStr">
        <is>
          <t>L</t>
        </is>
      </c>
    </row>
    <row r="18">
      <c r="A18" s="1" t="n">
        <v>15</v>
      </c>
      <c r="B18" s="75" t="inlineStr">
        <is>
          <t>Bolsa de lona para proteção de luva de borracha</t>
        </is>
      </c>
      <c r="C18" s="1" t="n"/>
      <c r="D18" s="1" t="n">
        <v>6</v>
      </c>
      <c r="E18" s="263" t="n">
        <v>40</v>
      </c>
      <c r="F18" s="264">
        <f>E18*D18</f>
        <v/>
      </c>
      <c r="G18" s="4" t="inlineStr">
        <is>
          <t>L</t>
        </is>
      </c>
    </row>
    <row r="19">
      <c r="A19" s="1" t="n">
        <v>16</v>
      </c>
      <c r="B19" s="75" t="inlineStr">
        <is>
          <t>Botão para manga de borracha</t>
        </is>
      </c>
      <c r="C19" s="1" t="n"/>
      <c r="D19" s="1" t="n">
        <v>9</v>
      </c>
      <c r="E19" s="263" t="n">
        <v>12</v>
      </c>
      <c r="F19" s="264">
        <f>E19*D19</f>
        <v/>
      </c>
      <c r="G19" s="4" t="inlineStr">
        <is>
          <t>L</t>
        </is>
      </c>
    </row>
    <row r="20">
      <c r="A20" s="1" t="n">
        <v>17</v>
      </c>
      <c r="B20" s="75" t="inlineStr">
        <is>
          <t>Bypass,Porta Fusível;290-430MM</t>
        </is>
      </c>
      <c r="C20" s="1" t="n"/>
      <c r="D20" s="1" t="n">
        <v>1</v>
      </c>
      <c r="E20" s="263" t="n"/>
      <c r="F20" s="263">
        <f>E20*D20</f>
        <v/>
      </c>
      <c r="G20" s="4" t="inlineStr">
        <is>
          <t>L</t>
        </is>
      </c>
    </row>
    <row r="21">
      <c r="A21" s="1" t="n">
        <v>18</v>
      </c>
      <c r="B21" s="75" t="inlineStr">
        <is>
          <t>Cabeçote (arpão) para operar chave fusível com terminal universal</t>
        </is>
      </c>
      <c r="C21" s="1" t="n"/>
      <c r="D21" s="1" t="n">
        <v>1</v>
      </c>
      <c r="E21" s="263" t="n">
        <v>51</v>
      </c>
      <c r="F21" s="263">
        <f>E21*D21</f>
        <v/>
      </c>
      <c r="G21" s="4" t="inlineStr">
        <is>
          <t>L</t>
        </is>
      </c>
    </row>
    <row r="22">
      <c r="A22" s="1" t="n">
        <v>19</v>
      </c>
      <c r="B22" s="75" t="inlineStr">
        <is>
          <t>Cabeçote olhal sem isolador</t>
        </is>
      </c>
      <c r="C22" s="1" t="n"/>
      <c r="D22" s="1" t="n">
        <v>1</v>
      </c>
      <c r="E22" s="263" t="n">
        <v>990</v>
      </c>
      <c r="F22" s="263">
        <f>E22*D22</f>
        <v/>
      </c>
      <c r="G22" s="4" t="inlineStr">
        <is>
          <t>L</t>
        </is>
      </c>
    </row>
    <row r="23">
      <c r="A23" s="79" t="n">
        <v>20</v>
      </c>
      <c r="B23" s="80" t="inlineStr">
        <is>
          <t>Cabo 35 mm² isolado para 15 kV/200 A (metros) 3 de 4m 2m 1m</t>
        </is>
      </c>
      <c r="C23" s="79" t="inlineStr">
        <is>
          <t>EE</t>
        </is>
      </c>
      <c r="D23" s="79" t="n">
        <v>21</v>
      </c>
      <c r="E23" s="263" t="n">
        <v>220</v>
      </c>
      <c r="F23" s="263">
        <f>E23*D23</f>
        <v/>
      </c>
      <c r="G23" s="4" t="n"/>
    </row>
    <row r="24" ht="15.75" customHeight="1">
      <c r="A24" s="79" t="n">
        <v>21</v>
      </c>
      <c r="B24" s="80" t="inlineStr">
        <is>
          <t>Cabo 70 mm² isolado para 15 kV/300 A (metros) 3 de 4m 1m</t>
        </is>
      </c>
      <c r="C24" s="79" t="inlineStr">
        <is>
          <t>EE</t>
        </is>
      </c>
      <c r="D24" s="79" t="n">
        <v>15</v>
      </c>
      <c r="E24" s="263" t="n">
        <v>317</v>
      </c>
      <c r="F24" s="263">
        <f>E24*D24</f>
        <v/>
      </c>
      <c r="G24" s="4" t="n"/>
    </row>
    <row r="25">
      <c r="A25" s="79" t="n">
        <v>22</v>
      </c>
      <c r="B25" s="80" t="inlineStr">
        <is>
          <t>Cabo 70 mm² isolado para 34,5 kV/300 A (metros) 3 de 4m 2m 1m</t>
        </is>
      </c>
      <c r="C25" s="79" t="inlineStr">
        <is>
          <t>EE</t>
        </is>
      </c>
      <c r="D25" s="79" t="n">
        <v>21</v>
      </c>
      <c r="E25" s="263" t="n">
        <v>680</v>
      </c>
      <c r="F25" s="263">
        <f>E25*D25</f>
        <v/>
      </c>
      <c r="G25" s="4" t="inlineStr">
        <is>
          <t>L</t>
        </is>
      </c>
    </row>
    <row r="26">
      <c r="A26" s="1" t="n">
        <v>23</v>
      </c>
      <c r="B26" s="75" t="inlineStr">
        <is>
          <t>Capacete com protetor facial  ETS 1086</t>
        </is>
      </c>
      <c r="C26" s="1" t="n"/>
      <c r="D26" s="1" t="n">
        <v>1</v>
      </c>
      <c r="E26" s="263" t="n">
        <v>750</v>
      </c>
      <c r="F26" s="263">
        <f>E26*D26</f>
        <v/>
      </c>
      <c r="G26" s="4" t="inlineStr">
        <is>
          <t>L</t>
        </is>
      </c>
    </row>
    <row r="27">
      <c r="A27" s="1" t="n">
        <v>24</v>
      </c>
      <c r="B27" s="75" t="inlineStr">
        <is>
          <t>Canivete de 80 mm (bico chato)</t>
        </is>
      </c>
      <c r="C27" s="1" t="n"/>
      <c r="D27" s="1" t="n">
        <v>3</v>
      </c>
      <c r="E27" s="263" t="n">
        <v>33</v>
      </c>
      <c r="F27" s="263">
        <f>E27*D27</f>
        <v/>
      </c>
      <c r="G27" s="4" t="inlineStr">
        <is>
          <t>L</t>
        </is>
      </c>
    </row>
    <row r="28">
      <c r="A28" s="1" t="n">
        <v>25</v>
      </c>
      <c r="B28" s="75" t="inlineStr">
        <is>
          <t>Carretilha para içar materiais</t>
        </is>
      </c>
      <c r="C28" s="1" t="n"/>
      <c r="D28" s="1" t="n">
        <v>2</v>
      </c>
      <c r="E28" s="263" t="n">
        <v>118</v>
      </c>
      <c r="F28" s="263">
        <f>E28*D28</f>
        <v/>
      </c>
      <c r="G28" s="4" t="inlineStr">
        <is>
          <t>L</t>
        </is>
      </c>
    </row>
    <row r="29">
      <c r="A29" s="1" t="n">
        <v>26</v>
      </c>
      <c r="B29" s="75" t="inlineStr">
        <is>
          <t>Chave Combinada 17 mm</t>
        </is>
      </c>
      <c r="C29" s="1" t="inlineStr">
        <is>
          <t>EE</t>
        </is>
      </c>
      <c r="D29" s="1" t="n">
        <v>2</v>
      </c>
      <c r="E29" s="263" t="n">
        <v>98</v>
      </c>
      <c r="F29" s="263">
        <f>E29*D29</f>
        <v/>
      </c>
      <c r="G29" s="4" t="inlineStr">
        <is>
          <t>L</t>
        </is>
      </c>
    </row>
    <row r="30">
      <c r="A30" s="1" t="n">
        <v>27</v>
      </c>
      <c r="B30" s="29" t="inlineStr">
        <is>
          <t>Chave Combinada 19 mm</t>
        </is>
      </c>
      <c r="C30" s="1" t="inlineStr">
        <is>
          <t>EE</t>
        </is>
      </c>
      <c r="D30" s="1" t="n">
        <v>2</v>
      </c>
      <c r="E30" s="263" t="n">
        <v>102</v>
      </c>
      <c r="F30" s="263">
        <f>E30*D30</f>
        <v/>
      </c>
      <c r="G30" s="4" t="inlineStr">
        <is>
          <t>L</t>
        </is>
      </c>
    </row>
    <row r="31">
      <c r="A31" s="1" t="n">
        <v>28</v>
      </c>
      <c r="B31" s="75" t="inlineStr">
        <is>
          <t>Chave de fenda 100 x 3,5 mm, com cobertura isolada para 1kV</t>
        </is>
      </c>
      <c r="C31" s="1" t="inlineStr">
        <is>
          <t>EE</t>
        </is>
      </c>
      <c r="D31" s="1" t="n">
        <v>3</v>
      </c>
      <c r="E31" s="263" t="n">
        <v>13.6</v>
      </c>
      <c r="F31" s="263">
        <f>E31*D31</f>
        <v/>
      </c>
      <c r="G31" s="4" t="inlineStr">
        <is>
          <t>L</t>
        </is>
      </c>
    </row>
    <row r="32">
      <c r="A32" s="1" t="n">
        <v>29</v>
      </c>
      <c r="B32" s="75" t="inlineStr">
        <is>
          <t>Chave de fenda 150 x 6 mm, com cobertura isolada para 1kV</t>
        </is>
      </c>
      <c r="C32" s="1" t="inlineStr">
        <is>
          <t>EE</t>
        </is>
      </c>
      <c r="D32" s="1" t="n">
        <v>3</v>
      </c>
      <c r="E32" s="263" t="n">
        <v>21</v>
      </c>
      <c r="F32" s="263">
        <f>E32*D32</f>
        <v/>
      </c>
      <c r="G32" s="4" t="inlineStr">
        <is>
          <t>L</t>
        </is>
      </c>
    </row>
    <row r="33">
      <c r="A33" s="1" t="n">
        <v>30</v>
      </c>
      <c r="B33" s="75" t="inlineStr">
        <is>
          <t>Chave de fenda 150 x 8 mm, com cobertura isolada para 1kV</t>
        </is>
      </c>
      <c r="C33" s="1" t="inlineStr">
        <is>
          <t>EE</t>
        </is>
      </c>
      <c r="D33" s="1" t="n">
        <v>3</v>
      </c>
      <c r="E33" s="263" t="n">
        <v>27.2</v>
      </c>
      <c r="F33" s="263">
        <f>E33*D33</f>
        <v/>
      </c>
      <c r="G33" s="4" t="inlineStr">
        <is>
          <t>L</t>
        </is>
      </c>
    </row>
    <row r="34" ht="18.75" customHeight="1">
      <c r="A34" s="1" t="n">
        <v>31</v>
      </c>
      <c r="B34" s="75" t="inlineStr">
        <is>
          <t>Chave estrela 24 x 26 mm, com cobertura isolada para 1kV</t>
        </is>
      </c>
      <c r="C34" s="1" t="inlineStr">
        <is>
          <t>EE</t>
        </is>
      </c>
      <c r="D34" s="1" t="n">
        <v>2</v>
      </c>
      <c r="E34" s="263" t="n"/>
      <c r="F34" s="263">
        <f>E34*D34</f>
        <v/>
      </c>
      <c r="G34" s="4" t="inlineStr">
        <is>
          <t>L</t>
        </is>
      </c>
    </row>
    <row r="35" ht="15" customHeight="1">
      <c r="A35" s="1" t="n">
        <v>32</v>
      </c>
      <c r="B35" s="75" t="inlineStr">
        <is>
          <t>Chave inglesa 300 mm, com cobertura isolada para 1kV</t>
        </is>
      </c>
      <c r="C35" s="1" t="inlineStr">
        <is>
          <t>EE</t>
        </is>
      </c>
      <c r="D35" s="1" t="n">
        <v>2</v>
      </c>
      <c r="E35" s="263" t="n">
        <v>170</v>
      </c>
      <c r="F35" s="263">
        <f>E35*D35</f>
        <v/>
      </c>
      <c r="G35" s="4" t="inlineStr">
        <is>
          <t>L</t>
        </is>
      </c>
      <c r="M35" t="n">
        <v>1250</v>
      </c>
      <c r="N35" t="n">
        <v>1075.32</v>
      </c>
    </row>
    <row r="36">
      <c r="A36" s="1" t="n">
        <v>33</v>
      </c>
      <c r="B36" s="75" t="inlineStr">
        <is>
          <t>Cinta de poliester 2000kg linha viva</t>
        </is>
      </c>
      <c r="C36" s="1" t="n"/>
      <c r="D36" s="1" t="n">
        <v>1</v>
      </c>
      <c r="E36" s="263" t="n">
        <v>190</v>
      </c>
      <c r="F36" s="263">
        <f>E36*D36</f>
        <v/>
      </c>
      <c r="G36" s="4" t="inlineStr">
        <is>
          <t>L</t>
        </is>
      </c>
    </row>
    <row r="37">
      <c r="A37" s="1" t="n">
        <v>34</v>
      </c>
      <c r="B37" s="75" t="inlineStr">
        <is>
          <t>Cinta para mão francesa – diâmetro 64mm</t>
        </is>
      </c>
      <c r="C37" s="1" t="n"/>
      <c r="D37" s="1" t="n">
        <v>1</v>
      </c>
      <c r="E37" s="263" t="n">
        <v>277</v>
      </c>
      <c r="F37" s="263">
        <f>E37*D37</f>
        <v/>
      </c>
      <c r="G37" s="4" t="inlineStr">
        <is>
          <t>L</t>
        </is>
      </c>
    </row>
    <row r="38">
      <c r="A38" s="1" t="n">
        <v>35</v>
      </c>
      <c r="B38" s="75" t="inlineStr">
        <is>
          <t>Corda de fibra sintética de polipropileno torcida 10mm (metros)</t>
        </is>
      </c>
      <c r="C38" s="1" t="n"/>
      <c r="D38" s="1" t="n">
        <v>30</v>
      </c>
      <c r="E38" s="263" t="n"/>
      <c r="F38" s="263">
        <f>E38*D38</f>
        <v/>
      </c>
      <c r="G38" s="4" t="inlineStr">
        <is>
          <t>L</t>
        </is>
      </c>
    </row>
    <row r="39">
      <c r="A39" s="1" t="n">
        <v>36</v>
      </c>
      <c r="B39" s="75" t="inlineStr">
        <is>
          <t>Corda de fibra sintética de polipropileno torcida 12mm (metros)</t>
        </is>
      </c>
      <c r="C39" s="1" t="n"/>
      <c r="D39" s="1" t="n">
        <v>90</v>
      </c>
      <c r="E39" s="263" t="n">
        <v>255</v>
      </c>
      <c r="F39" s="263">
        <f>E39*D39</f>
        <v/>
      </c>
      <c r="G39" s="4" t="inlineStr">
        <is>
          <t>L</t>
        </is>
      </c>
    </row>
    <row r="40" ht="28.79999923706055" customHeight="1">
      <c r="A40" s="1" t="n">
        <v>37</v>
      </c>
      <c r="B40" s="96" t="inlineStr">
        <is>
          <t>Corda de fibra sintética de polipropileno torcida 6mm para cobertura LV (metros)</t>
        </is>
      </c>
      <c r="C40" s="1" t="n"/>
      <c r="D40" s="1" t="n">
        <v>10</v>
      </c>
      <c r="E40" s="263" t="n">
        <v>2.2</v>
      </c>
      <c r="F40" s="263">
        <f>E40*D40</f>
        <v/>
      </c>
      <c r="G40" s="4" t="inlineStr">
        <is>
          <t>L</t>
        </is>
      </c>
    </row>
    <row r="41">
      <c r="A41" s="1" t="n">
        <v>38</v>
      </c>
      <c r="B41" s="75" t="inlineStr">
        <is>
          <t>Corda de sinalização 6mm</t>
        </is>
      </c>
      <c r="C41" s="1" t="n"/>
      <c r="D41" s="1" t="n">
        <v>60</v>
      </c>
      <c r="E41" s="263" t="n">
        <v>2.2</v>
      </c>
      <c r="F41" s="263">
        <f>E41*D41</f>
        <v/>
      </c>
      <c r="G41" s="4" t="inlineStr">
        <is>
          <t>L</t>
        </is>
      </c>
    </row>
    <row r="42">
      <c r="A42" s="1" t="n">
        <v>39</v>
      </c>
      <c r="B42" s="75" t="inlineStr">
        <is>
          <t>Cruzeta auxiliar sem mastro 64 x 2410 mm</t>
        </is>
      </c>
      <c r="C42" s="1" t="inlineStr">
        <is>
          <t>EE</t>
        </is>
      </c>
      <c r="D42" s="1" t="n">
        <v>1</v>
      </c>
      <c r="E42" s="263" t="n">
        <v>4350</v>
      </c>
      <c r="F42" s="263">
        <f>E42*D42</f>
        <v/>
      </c>
      <c r="G42" s="4" t="inlineStr">
        <is>
          <t>L</t>
        </is>
      </c>
    </row>
    <row r="43" ht="17.54999923706055" customHeight="1">
      <c r="A43" s="1" t="n">
        <v>40</v>
      </c>
      <c r="B43" s="75" t="inlineStr">
        <is>
          <t>Descascador de meio e ponta CABO PROTEGIDO 15 KV</t>
        </is>
      </c>
      <c r="C43" s="1" t="n"/>
      <c r="D43" s="1" t="n">
        <v>1</v>
      </c>
      <c r="E43" s="263" t="n"/>
      <c r="F43" s="263">
        <f>E43*D43</f>
        <v/>
      </c>
      <c r="G43" s="4" t="inlineStr">
        <is>
          <t>L</t>
        </is>
      </c>
    </row>
    <row r="44" ht="16.5" customHeight="1">
      <c r="A44" s="1" t="n">
        <v>41</v>
      </c>
      <c r="B44" s="75" t="inlineStr">
        <is>
          <t>Descascador de meio e ponta CABO PROTEGIDO 35 KV</t>
        </is>
      </c>
      <c r="C44" s="1" t="n"/>
      <c r="D44" s="1" t="n">
        <v>1</v>
      </c>
      <c r="E44" s="263" t="n"/>
      <c r="F44" s="263">
        <f>E44*D44</f>
        <v/>
      </c>
      <c r="G44" s="4" t="inlineStr">
        <is>
          <t>L</t>
        </is>
      </c>
    </row>
    <row r="45" ht="19.04999923706055" customHeight="1">
      <c r="A45" s="1" t="n">
        <v>42</v>
      </c>
      <c r="B45" s="75" t="inlineStr">
        <is>
          <t>Dispositivo de segurança anti queda do porta fusível - DAQC</t>
        </is>
      </c>
      <c r="C45" s="1" t="n"/>
      <c r="D45" s="1" t="n">
        <v>1</v>
      </c>
      <c r="E45" s="263" t="n">
        <v>148</v>
      </c>
      <c r="F45" s="263">
        <f>E45*D45</f>
        <v/>
      </c>
      <c r="G45" s="4" t="inlineStr">
        <is>
          <t>L</t>
        </is>
      </c>
    </row>
    <row r="46" ht="28.79999923706055" customHeight="1">
      <c r="A46" s="1" t="n">
        <v>43</v>
      </c>
      <c r="B46" s="75" t="inlineStr">
        <is>
          <t>Escada extensível de madeira ou fibra de vidro 4,00 x 7,00 m ETS 1029 ou 1030</t>
        </is>
      </c>
      <c r="C46" s="1" t="n"/>
      <c r="D46" s="1" t="n">
        <v>1</v>
      </c>
      <c r="E46" s="263" t="n"/>
      <c r="F46" s="263">
        <f>E46*D46</f>
        <v/>
      </c>
      <c r="G46" s="4" t="inlineStr">
        <is>
          <t>L</t>
        </is>
      </c>
    </row>
    <row r="47">
      <c r="A47" s="1" t="n">
        <v>44</v>
      </c>
      <c r="B47" s="75" t="inlineStr">
        <is>
          <t>Escova de aço em V para limpeza de cabos</t>
        </is>
      </c>
      <c r="C47" s="1" t="n"/>
      <c r="D47" s="1" t="n">
        <v>2</v>
      </c>
      <c r="E47" s="263" t="n">
        <v>180</v>
      </c>
      <c r="F47" s="263">
        <f>E47*D47</f>
        <v/>
      </c>
      <c r="G47" s="4" t="inlineStr">
        <is>
          <t>L</t>
        </is>
      </c>
    </row>
    <row r="48">
      <c r="A48" s="1" t="n">
        <v>45</v>
      </c>
      <c r="B48" s="75" t="inlineStr">
        <is>
          <t>Esticador de cabo 4 a 3/0 AWG</t>
        </is>
      </c>
      <c r="C48" s="1" t="n"/>
      <c r="D48" s="1" t="n">
        <v>3</v>
      </c>
      <c r="E48" s="263" t="n">
        <v>325</v>
      </c>
      <c r="F48" s="263">
        <f>E48*D48</f>
        <v/>
      </c>
      <c r="G48" s="4" t="inlineStr">
        <is>
          <t>L</t>
        </is>
      </c>
    </row>
    <row r="49">
      <c r="A49" s="1" t="n">
        <v>46</v>
      </c>
      <c r="B49" s="75" t="inlineStr">
        <is>
          <t xml:space="preserve">Esticador de cabo 4/0 a 477 </t>
        </is>
      </c>
      <c r="C49" s="1" t="n"/>
      <c r="D49" s="1" t="n">
        <v>3</v>
      </c>
      <c r="E49" s="263" t="n">
        <v>610</v>
      </c>
      <c r="F49" s="263">
        <f>E49*D49</f>
        <v/>
      </c>
      <c r="G49" s="4" t="inlineStr">
        <is>
          <t>L</t>
        </is>
      </c>
    </row>
    <row r="50">
      <c r="A50" s="1" t="n">
        <v>47</v>
      </c>
      <c r="B50" s="75" t="inlineStr">
        <is>
          <t>Esticador de cordoalha de aço de 6 a 9 mm</t>
        </is>
      </c>
      <c r="C50" s="1" t="n"/>
      <c r="D50" s="1" t="n">
        <v>2</v>
      </c>
      <c r="E50" s="263" t="n">
        <v>188</v>
      </c>
      <c r="F50" s="263">
        <f>E50*D50</f>
        <v/>
      </c>
      <c r="G50" s="4" t="inlineStr">
        <is>
          <t>L</t>
        </is>
      </c>
    </row>
    <row r="51">
      <c r="A51" s="1" t="n">
        <v>48</v>
      </c>
      <c r="B51" s="75" t="inlineStr">
        <is>
          <t>Estojo para matrizes, Y-35 e MD-6</t>
        </is>
      </c>
      <c r="C51" s="1" t="n"/>
      <c r="D51" s="1" t="n">
        <v>1</v>
      </c>
      <c r="E51" s="263" t="n"/>
      <c r="F51" s="263">
        <f>E51*D51</f>
        <v/>
      </c>
      <c r="G51" s="4" t="inlineStr">
        <is>
          <t>L</t>
        </is>
      </c>
    </row>
    <row r="52">
      <c r="A52" s="1" t="n">
        <v>49</v>
      </c>
      <c r="B52" s="75" t="inlineStr">
        <is>
          <t>Estribo para mão francesa</t>
        </is>
      </c>
      <c r="C52" s="1" t="n"/>
      <c r="D52" s="1" t="n">
        <v>1</v>
      </c>
      <c r="E52" s="263" t="n">
        <v>239</v>
      </c>
      <c r="F52" s="263">
        <f>E52*D52</f>
        <v/>
      </c>
      <c r="G52" s="4" t="inlineStr">
        <is>
          <t>L</t>
        </is>
      </c>
    </row>
    <row r="53">
      <c r="A53" s="1" t="n">
        <v>50</v>
      </c>
      <c r="B53" s="29" t="inlineStr">
        <is>
          <t>Estropo de nylon 500 mm – 455 daN</t>
        </is>
      </c>
      <c r="C53" s="1" t="n"/>
      <c r="D53" s="1" t="n">
        <v>3</v>
      </c>
      <c r="E53" s="263" t="n">
        <v>115</v>
      </c>
      <c r="F53" s="263">
        <f>E53*D53</f>
        <v/>
      </c>
      <c r="G53" s="4" t="inlineStr">
        <is>
          <t>L</t>
        </is>
      </c>
    </row>
    <row r="54">
      <c r="A54" s="1" t="n">
        <v>51</v>
      </c>
      <c r="B54" s="75" t="inlineStr">
        <is>
          <t>Estropo de nylon 800mm</t>
        </is>
      </c>
      <c r="C54" s="1" t="n"/>
      <c r="D54" s="1" t="n">
        <v>3</v>
      </c>
      <c r="E54" s="263" t="n">
        <v>139</v>
      </c>
      <c r="F54" s="263">
        <f>E54*D54</f>
        <v/>
      </c>
      <c r="G54" s="4" t="inlineStr">
        <is>
          <t>L</t>
        </is>
      </c>
    </row>
    <row r="55">
      <c r="A55" s="1" t="n">
        <v>52</v>
      </c>
      <c r="B55" s="75" t="inlineStr">
        <is>
          <t>Gancho para corda</t>
        </is>
      </c>
      <c r="C55" s="1" t="n"/>
      <c r="D55" s="1" t="n">
        <v>1</v>
      </c>
      <c r="E55" s="263" t="n">
        <v>58</v>
      </c>
      <c r="F55" s="263">
        <f>E55*D55</f>
        <v/>
      </c>
      <c r="G55" s="4" t="inlineStr">
        <is>
          <t>L</t>
        </is>
      </c>
    </row>
    <row r="56">
      <c r="A56" s="1" t="n">
        <v>53</v>
      </c>
      <c r="B56" s="75" t="inlineStr">
        <is>
          <t>Grampo de torção para “by-pass”</t>
        </is>
      </c>
      <c r="C56" s="1" t="n"/>
      <c r="D56" s="1" t="n">
        <v>6</v>
      </c>
      <c r="E56" s="263" t="n">
        <v>155</v>
      </c>
      <c r="F56" s="263">
        <f>E56*D56</f>
        <v/>
      </c>
      <c r="G56" s="4" t="inlineStr">
        <is>
          <t>L</t>
        </is>
      </c>
    </row>
    <row r="57">
      <c r="A57" s="1" t="n">
        <v>54</v>
      </c>
      <c r="B57" s="75" t="inlineStr">
        <is>
          <t>Grampo isolado para “by-pass”</t>
        </is>
      </c>
      <c r="C57" s="1" t="n"/>
      <c r="D57" s="1" t="n">
        <v>6</v>
      </c>
      <c r="E57" s="263" t="n">
        <v>490</v>
      </c>
      <c r="F57" s="263">
        <f>E57*D57</f>
        <v/>
      </c>
      <c r="G57" s="4" t="inlineStr">
        <is>
          <t>L</t>
        </is>
      </c>
    </row>
    <row r="58">
      <c r="A58" s="1" t="n">
        <v>55</v>
      </c>
      <c r="B58" s="75" t="inlineStr">
        <is>
          <t>Içador isolado com cabeçote giratório</t>
        </is>
      </c>
      <c r="C58" s="1" t="inlineStr">
        <is>
          <t>EE</t>
        </is>
      </c>
      <c r="D58" s="1" t="n">
        <v>1</v>
      </c>
      <c r="E58" s="263" t="n">
        <v>7310</v>
      </c>
      <c r="F58" s="263">
        <f>E58*D58</f>
        <v/>
      </c>
      <c r="G58" s="4" t="inlineStr">
        <is>
          <t>L</t>
        </is>
      </c>
    </row>
    <row r="59">
      <c r="A59" s="1" t="n">
        <v>56</v>
      </c>
      <c r="B59" s="75" t="inlineStr">
        <is>
          <t>Inflador de luvas</t>
        </is>
      </c>
      <c r="C59" s="1" t="n"/>
      <c r="D59" s="1" t="n">
        <v>1</v>
      </c>
      <c r="E59" s="263" t="n">
        <v>1460</v>
      </c>
      <c r="F59" s="263">
        <f>E59*D59</f>
        <v/>
      </c>
      <c r="G59" s="4" t="inlineStr">
        <is>
          <t>L</t>
        </is>
      </c>
    </row>
    <row r="60">
      <c r="A60" s="1" t="n">
        <v>57</v>
      </c>
      <c r="B60" s="75" t="inlineStr">
        <is>
          <t xml:space="preserve">Jogo com soquetes de 12 a 28 mm </t>
        </is>
      </c>
      <c r="C60" s="1" t="n"/>
      <c r="D60" s="1" t="n">
        <v>1</v>
      </c>
      <c r="E60" s="263" t="n"/>
      <c r="F60" s="263">
        <f>E60*D60</f>
        <v/>
      </c>
      <c r="G60" s="4" t="inlineStr">
        <is>
          <t>L</t>
        </is>
      </c>
    </row>
    <row r="61" ht="41.25" customHeight="1">
      <c r="A61" s="79" t="n">
        <v>58</v>
      </c>
      <c r="B61" s="95" t="inlineStr">
        <is>
          <t>Jumper “Little Jumper” para bucha de transformador Composição do Jumper por unidade  3,5 m Cabo Protegido para 15Kv  1 Grampo para bucha de transformador  1 Grampo de Torção  1 Suporte Isolado</t>
        </is>
      </c>
      <c r="C61" s="79" t="inlineStr">
        <is>
          <t>EE</t>
        </is>
      </c>
      <c r="D61" s="79" t="n">
        <v>3</v>
      </c>
      <c r="E61" s="263" t="n">
        <v>2450</v>
      </c>
      <c r="F61" s="263">
        <f>E61*D61</f>
        <v/>
      </c>
      <c r="G61" s="4" t="inlineStr">
        <is>
          <t>L</t>
        </is>
      </c>
    </row>
    <row r="62">
      <c r="A62" s="1" t="n">
        <v>59</v>
      </c>
      <c r="B62" s="75" t="inlineStr">
        <is>
          <t>Kit de ferramenta para instalação do conector tipo cunha</t>
        </is>
      </c>
      <c r="C62" s="1" t="n"/>
      <c r="D62" s="1" t="n">
        <v>1</v>
      </c>
      <c r="E62" s="263" t="n">
        <v>2150</v>
      </c>
      <c r="F62" s="263">
        <f>E62*D62</f>
        <v/>
      </c>
      <c r="G62" s="4" t="inlineStr">
        <is>
          <t>L</t>
        </is>
      </c>
    </row>
    <row r="63" ht="28.79999923706055" customHeight="1">
      <c r="A63" s="1" t="n">
        <v>60</v>
      </c>
      <c r="B63" s="75" t="inlineStr">
        <is>
          <t>Kit para salvamento/resgate em altura conforme especificação técnica COPEL - ETS 1090</t>
        </is>
      </c>
      <c r="C63" s="1" t="n"/>
      <c r="D63" s="1" t="n">
        <v>1</v>
      </c>
      <c r="E63" s="263" t="n">
        <v>2260</v>
      </c>
      <c r="F63" s="263">
        <f>E63*D63</f>
        <v/>
      </c>
      <c r="G63" s="4" t="inlineStr">
        <is>
          <t>L</t>
        </is>
      </c>
    </row>
    <row r="64">
      <c r="A64" s="1" t="n">
        <v>61</v>
      </c>
      <c r="B64" s="75" t="inlineStr">
        <is>
          <t>Lanterna elétrica manual</t>
        </is>
      </c>
      <c r="C64" s="1" t="n"/>
      <c r="D64" s="1" t="n">
        <v>1</v>
      </c>
      <c r="E64" s="263" t="n">
        <v>185</v>
      </c>
      <c r="F64" s="263">
        <f>E64*D64</f>
        <v/>
      </c>
      <c r="G64" s="4" t="inlineStr">
        <is>
          <t>L</t>
        </is>
      </c>
    </row>
    <row r="65">
      <c r="A65" s="1" t="n">
        <v>62</v>
      </c>
      <c r="B65" s="75" t="inlineStr">
        <is>
          <t>Lanterna para capacete</t>
        </is>
      </c>
      <c r="C65" s="1" t="n"/>
      <c r="D65" s="1" t="n">
        <v>3</v>
      </c>
      <c r="E65" s="263" t="n">
        <v>119</v>
      </c>
      <c r="F65" s="263">
        <f>E65*D65</f>
        <v/>
      </c>
      <c r="G65" s="4" t="inlineStr">
        <is>
          <t>L</t>
        </is>
      </c>
    </row>
    <row r="66">
      <c r="A66" s="1" t="n">
        <v>63</v>
      </c>
      <c r="B66" s="75" t="inlineStr">
        <is>
          <t>Lima mursa</t>
        </is>
      </c>
      <c r="C66" s="1" t="n"/>
      <c r="D66" s="1" t="n">
        <v>1</v>
      </c>
      <c r="E66" s="263" t="n">
        <v>22</v>
      </c>
      <c r="F66" s="263">
        <f>E66*D66</f>
        <v/>
      </c>
      <c r="G66" s="4" t="inlineStr">
        <is>
          <t>L</t>
        </is>
      </c>
    </row>
    <row r="67">
      <c r="A67" s="1" t="n">
        <v>64</v>
      </c>
      <c r="B67" s="75" t="inlineStr">
        <is>
          <t>Lona de 300 x 4.000 mm</t>
        </is>
      </c>
      <c r="C67" s="1" t="n"/>
      <c r="D67" s="1" t="n">
        <v>1</v>
      </c>
      <c r="E67" s="263" t="n">
        <v>440</v>
      </c>
      <c r="F67" s="263">
        <f>E67*D67</f>
        <v/>
      </c>
      <c r="G67" s="4" t="inlineStr">
        <is>
          <t>L</t>
        </is>
      </c>
    </row>
    <row r="68">
      <c r="A68" s="1" t="n">
        <v>65</v>
      </c>
      <c r="B68" s="75" t="inlineStr">
        <is>
          <t>Marreta 500g</t>
        </is>
      </c>
      <c r="C68" s="1" t="n"/>
      <c r="D68" s="1" t="n">
        <v>1</v>
      </c>
      <c r="E68" s="263" t="n">
        <v>36</v>
      </c>
      <c r="F68" s="263">
        <f>E68*D68</f>
        <v/>
      </c>
      <c r="G68" s="4" t="inlineStr">
        <is>
          <t>L</t>
        </is>
      </c>
    </row>
    <row r="69">
      <c r="A69" s="1" t="n">
        <v>66</v>
      </c>
      <c r="B69" s="75" t="inlineStr">
        <is>
          <t>Matriz c. hidráulica 12 t – índice 242 (RDR) - sextavada</t>
        </is>
      </c>
      <c r="C69" s="1" t="n"/>
      <c r="D69" s="1" t="n">
        <v>1</v>
      </c>
      <c r="E69" s="263" t="n"/>
      <c r="F69" s="263">
        <f>E69*D69</f>
        <v/>
      </c>
      <c r="G69" s="4" t="inlineStr">
        <is>
          <t>L</t>
        </is>
      </c>
    </row>
    <row r="70">
      <c r="A70" s="1" t="n">
        <v>67</v>
      </c>
      <c r="B70" s="75" t="inlineStr">
        <is>
          <t>Matriz c. hidráulica 12 t – índice 245A (RDU e RDR) - sextavada</t>
        </is>
      </c>
      <c r="C70" s="1" t="n"/>
      <c r="D70" s="1" t="n">
        <v>1</v>
      </c>
      <c r="E70" s="263" t="n"/>
      <c r="F70" s="263">
        <f>E70*D70</f>
        <v/>
      </c>
      <c r="G70" s="4" t="inlineStr">
        <is>
          <t>L</t>
        </is>
      </c>
    </row>
    <row r="71">
      <c r="A71" s="1" t="n">
        <v>68</v>
      </c>
      <c r="B71" s="75" t="inlineStr">
        <is>
          <t>Matriz c. hidráulica 12 t – índice 248 (RDR) - sextavada</t>
        </is>
      </c>
      <c r="C71" s="1" t="n"/>
      <c r="D71" s="1" t="n">
        <v>1</v>
      </c>
      <c r="E71" s="263" t="n"/>
      <c r="F71" s="263">
        <f>E71*D71</f>
        <v/>
      </c>
      <c r="G71" s="4" t="inlineStr">
        <is>
          <t>L</t>
        </is>
      </c>
    </row>
    <row r="72">
      <c r="A72" s="1" t="n">
        <v>69</v>
      </c>
      <c r="B72" s="94" t="inlineStr">
        <is>
          <t>Matriz c. hidráulica 12 t – índice 249A (RDU, RDR e Litoral) - sextavada</t>
        </is>
      </c>
      <c r="C72" s="1" t="n"/>
      <c r="D72" s="1" t="n">
        <v>1</v>
      </c>
      <c r="E72" s="263" t="n"/>
      <c r="F72" s="263">
        <f>E72*D72</f>
        <v/>
      </c>
      <c r="G72" s="4" t="inlineStr">
        <is>
          <t>L</t>
        </is>
      </c>
    </row>
    <row r="73">
      <c r="A73" s="1" t="n">
        <v>70</v>
      </c>
      <c r="B73" s="75" t="inlineStr">
        <is>
          <t>Matriz c. hidráulica 12 t – índice 317 (RDU)</t>
        </is>
      </c>
      <c r="C73" s="1" t="n"/>
      <c r="D73" s="1" t="n">
        <v>1</v>
      </c>
      <c r="E73" s="263" t="n"/>
      <c r="F73" s="263">
        <f>E73*D73</f>
        <v/>
      </c>
      <c r="G73" s="4" t="inlineStr">
        <is>
          <t>L</t>
        </is>
      </c>
    </row>
    <row r="74">
      <c r="A74" s="1" t="n">
        <v>71</v>
      </c>
      <c r="B74" s="75" t="inlineStr">
        <is>
          <t>Matriz c. hidráulica 12 t – índice 321A (RDU) - sextavada</t>
        </is>
      </c>
      <c r="C74" s="1" t="n"/>
      <c r="D74" s="1" t="n">
        <v>1</v>
      </c>
      <c r="E74" s="263" t="n"/>
      <c r="F74" s="263">
        <f>E74*D74</f>
        <v/>
      </c>
      <c r="G74" s="4" t="inlineStr">
        <is>
          <t>L</t>
        </is>
      </c>
    </row>
    <row r="75">
      <c r="A75" s="1" t="n">
        <v>72</v>
      </c>
      <c r="B75" s="75" t="inlineStr">
        <is>
          <t>Matriz c. mecânica 4 t – índice 162 (RDU, RDR e Litoral)</t>
        </is>
      </c>
      <c r="C75" s="1" t="n"/>
      <c r="D75" s="1" t="n">
        <v>1</v>
      </c>
      <c r="E75" s="263" t="n"/>
      <c r="F75" s="263">
        <f>E75*D75</f>
        <v/>
      </c>
      <c r="G75" s="4" t="inlineStr">
        <is>
          <t>L</t>
        </is>
      </c>
    </row>
    <row r="76">
      <c r="A76" s="1" t="n">
        <v>73</v>
      </c>
      <c r="B76" s="75" t="inlineStr">
        <is>
          <t>Matriz c. mecânica 4 t – índice 163 (RDU, RDR e Litoral)</t>
        </is>
      </c>
      <c r="C76" s="1" t="n"/>
      <c r="D76" s="1" t="n">
        <v>1</v>
      </c>
      <c r="E76" s="263" t="n"/>
      <c r="F76" s="263">
        <f>E76*D76</f>
        <v/>
      </c>
      <c r="G76" s="4" t="inlineStr">
        <is>
          <t>L</t>
        </is>
      </c>
    </row>
    <row r="77">
      <c r="A77" s="1" t="n">
        <v>74</v>
      </c>
      <c r="B77" s="75" t="inlineStr">
        <is>
          <t>Matriz c. mecânica 4 t – índice 236 (RDU, RDR e Litoral)</t>
        </is>
      </c>
      <c r="C77" s="1" t="n"/>
      <c r="D77" s="1" t="n">
        <v>1</v>
      </c>
      <c r="E77" s="263" t="n"/>
      <c r="F77" s="263">
        <f>E77*D77</f>
        <v/>
      </c>
      <c r="G77" s="4" t="inlineStr">
        <is>
          <t>L</t>
        </is>
      </c>
    </row>
    <row r="78">
      <c r="A78" s="1" t="n">
        <v>75</v>
      </c>
      <c r="B78" s="75" t="inlineStr">
        <is>
          <t>Matriz c. mecânica 4 t – índice 237 (RDU, RDR e Litoral)</t>
        </is>
      </c>
      <c r="C78" s="1" t="n"/>
      <c r="D78" s="1" t="n">
        <v>1</v>
      </c>
      <c r="E78" s="263" t="n"/>
      <c r="F78" s="263">
        <f>E78*D78</f>
        <v/>
      </c>
      <c r="G78" s="4" t="inlineStr">
        <is>
          <t>L</t>
        </is>
      </c>
    </row>
    <row r="79">
      <c r="A79" s="1" t="n">
        <v>76</v>
      </c>
      <c r="B79" s="75" t="inlineStr">
        <is>
          <t xml:space="preserve">Matriz c. mecânica 4 t – índice 242 (RDU e RDR) </t>
        </is>
      </c>
      <c r="C79" s="1" t="n"/>
      <c r="D79" s="1" t="n">
        <v>1</v>
      </c>
      <c r="E79" s="263" t="n"/>
      <c r="F79" s="263">
        <f>E79*D79</f>
        <v/>
      </c>
      <c r="G79" s="4" t="inlineStr">
        <is>
          <t>L</t>
        </is>
      </c>
    </row>
    <row r="80">
      <c r="A80" s="1" t="n">
        <v>77</v>
      </c>
      <c r="B80" s="75" t="inlineStr">
        <is>
          <t>Matriz c. mecânica 4 t – índice 243 (RDU, RDR e Litoral)</t>
        </is>
      </c>
      <c r="C80" s="1" t="n"/>
      <c r="D80" s="1" t="n">
        <v>1</v>
      </c>
      <c r="E80" s="263" t="n"/>
      <c r="F80" s="263">
        <f>E80*D80</f>
        <v/>
      </c>
      <c r="G80" s="4" t="inlineStr">
        <is>
          <t>L</t>
        </is>
      </c>
    </row>
    <row r="81">
      <c r="A81" s="1" t="n">
        <v>78</v>
      </c>
      <c r="B81" s="75" t="inlineStr">
        <is>
          <t>Matriz c. mecânica 4 t – índice 245 (RDU e RDR)</t>
        </is>
      </c>
      <c r="C81" s="1" t="n"/>
      <c r="D81" s="1" t="n">
        <v>1</v>
      </c>
      <c r="E81" s="263" t="n"/>
      <c r="F81" s="263">
        <f>E81*D81</f>
        <v/>
      </c>
      <c r="G81" s="4" t="inlineStr">
        <is>
          <t>L</t>
        </is>
      </c>
    </row>
    <row r="82">
      <c r="A82" s="1" t="n">
        <v>79</v>
      </c>
      <c r="B82" s="80" t="inlineStr">
        <is>
          <t>Moitão linha viva duplo sem corda – 400 daN - conjunto</t>
        </is>
      </c>
      <c r="C82" s="79" t="inlineStr">
        <is>
          <t>EE</t>
        </is>
      </c>
      <c r="D82" s="79" t="n">
        <v>2</v>
      </c>
      <c r="E82" s="263" t="n">
        <v>1390</v>
      </c>
      <c r="F82" s="263">
        <f>E82*D82</f>
        <v/>
      </c>
      <c r="G82" s="4" t="inlineStr">
        <is>
          <t>L</t>
        </is>
      </c>
    </row>
    <row r="83">
      <c r="A83" s="1" t="n">
        <v>80</v>
      </c>
      <c r="B83" s="80" t="inlineStr">
        <is>
          <t>Moitão linha viva triplo sem corda – 1000 daN - conjunto</t>
        </is>
      </c>
      <c r="C83" s="79" t="inlineStr">
        <is>
          <t>EE</t>
        </is>
      </c>
      <c r="D83" s="79" t="n">
        <v>1</v>
      </c>
      <c r="E83" s="263" t="n">
        <v>1980</v>
      </c>
      <c r="F83" s="263">
        <f>E83*D83</f>
        <v/>
      </c>
      <c r="G83" s="4" t="inlineStr">
        <is>
          <t>L</t>
        </is>
      </c>
    </row>
    <row r="84">
      <c r="A84" s="1" t="n">
        <v>81</v>
      </c>
      <c r="B84" s="75" t="inlineStr">
        <is>
          <t>Motosserra 1,5 HP</t>
        </is>
      </c>
      <c r="C84" s="1" t="n"/>
      <c r="D84" s="1" t="n">
        <v>1</v>
      </c>
      <c r="E84" s="263" t="n"/>
      <c r="F84" s="263">
        <f>E84*D84</f>
        <v/>
      </c>
      <c r="G84" s="4" t="inlineStr">
        <is>
          <t>L</t>
        </is>
      </c>
    </row>
    <row r="85">
      <c r="A85" s="1" t="n">
        <v>82</v>
      </c>
      <c r="B85" s="75" t="inlineStr">
        <is>
          <t>Parafuso sela para poste duplo T</t>
        </is>
      </c>
      <c r="C85" s="1" t="n"/>
      <c r="D85" s="1" t="n">
        <v>2</v>
      </c>
      <c r="E85" s="263" t="n">
        <v>770</v>
      </c>
      <c r="F85" s="263">
        <f>E85*D85</f>
        <v/>
      </c>
      <c r="G85" s="4" t="inlineStr">
        <is>
          <t>L</t>
        </is>
      </c>
    </row>
    <row r="86" ht="28.79999923706055" customHeight="1">
      <c r="A86" s="1" t="n">
        <v>83</v>
      </c>
      <c r="B86" s="75" t="inlineStr">
        <is>
          <t>Placa de alerta 20x30cm com descrição: “Atenção - Não opere este equipamento”</t>
        </is>
      </c>
      <c r="C86" s="1" t="n"/>
      <c r="D86" s="1" t="n">
        <v>1</v>
      </c>
      <c r="E86" s="263" t="n">
        <v>39</v>
      </c>
      <c r="F86" s="263">
        <f>E86*D86</f>
        <v/>
      </c>
      <c r="G86" s="4" t="inlineStr">
        <is>
          <t>L</t>
        </is>
      </c>
    </row>
    <row r="87">
      <c r="A87" s="1" t="n">
        <v>84</v>
      </c>
      <c r="B87" s="75" t="inlineStr">
        <is>
          <t>Pregador manual de cobertura</t>
        </is>
      </c>
      <c r="C87" s="1" t="n"/>
      <c r="D87" s="1" t="n">
        <v>12</v>
      </c>
      <c r="E87" s="263" t="n">
        <v>106</v>
      </c>
      <c r="F87" s="263">
        <f>E87*D87</f>
        <v/>
      </c>
      <c r="G87" s="4" t="inlineStr">
        <is>
          <t>L</t>
        </is>
      </c>
    </row>
    <row r="88">
      <c r="A88" s="1" t="n">
        <v>85</v>
      </c>
      <c r="B88" s="75" t="inlineStr">
        <is>
          <t>Presilha de suspensão sem isolador</t>
        </is>
      </c>
      <c r="C88" s="1" t="n"/>
      <c r="D88" s="1" t="n">
        <v>3</v>
      </c>
      <c r="E88" s="263" t="n">
        <v>310</v>
      </c>
      <c r="F88" s="263">
        <f>E88*D88</f>
        <v/>
      </c>
      <c r="G88" s="4" t="inlineStr">
        <is>
          <t>L</t>
        </is>
      </c>
    </row>
    <row r="89">
      <c r="A89" s="1" t="n">
        <v>86</v>
      </c>
      <c r="B89" s="75" t="inlineStr">
        <is>
          <t>Protetor de lona para lençóis</t>
        </is>
      </c>
      <c r="C89" s="1" t="n"/>
      <c r="D89" s="1" t="n">
        <v>1</v>
      </c>
      <c r="E89" s="263" t="n">
        <v>48</v>
      </c>
      <c r="F89" s="263">
        <f>E89*D89</f>
        <v/>
      </c>
      <c r="G89" s="4" t="inlineStr">
        <is>
          <t>L</t>
        </is>
      </c>
    </row>
    <row r="90">
      <c r="A90" s="1" t="n">
        <v>87</v>
      </c>
      <c r="B90" s="80" t="inlineStr">
        <is>
          <t>Protetor de polietileno para caçamba 50 kV</t>
        </is>
      </c>
      <c r="C90" s="79" t="inlineStr">
        <is>
          <t>EE</t>
        </is>
      </c>
      <c r="D90" s="79" t="n">
        <v>2</v>
      </c>
      <c r="E90" s="263" t="n"/>
      <c r="F90" s="263">
        <f>E90*D90</f>
        <v/>
      </c>
      <c r="G90" s="4" t="inlineStr">
        <is>
          <t>L</t>
        </is>
      </c>
    </row>
    <row r="91" ht="14.55000019073486" customHeight="1">
      <c r="A91" s="1" t="n">
        <v>88</v>
      </c>
      <c r="B91" s="80" t="inlineStr">
        <is>
          <t>Sacola de lona de vinyl para acondicionamento de vara de manobra</t>
        </is>
      </c>
      <c r="C91" s="79" t="n"/>
      <c r="D91" s="79" t="n">
        <v>1</v>
      </c>
      <c r="E91" s="263" t="n">
        <v>105</v>
      </c>
      <c r="F91" s="263">
        <f>E91*D91</f>
        <v/>
      </c>
      <c r="G91" s="4" t="inlineStr">
        <is>
          <t>L</t>
        </is>
      </c>
    </row>
    <row r="92">
      <c r="A92" s="1" t="n">
        <v>89</v>
      </c>
      <c r="B92" s="80" t="inlineStr">
        <is>
          <t>Sacola para manga de borracha</t>
        </is>
      </c>
      <c r="C92" s="79" t="n"/>
      <c r="D92" s="79" t="n">
        <v>1</v>
      </c>
      <c r="E92" s="263" t="n">
        <v>52</v>
      </c>
      <c r="F92" s="263">
        <f>E92*D92</f>
        <v/>
      </c>
      <c r="G92" s="4" t="inlineStr">
        <is>
          <t>L</t>
        </is>
      </c>
    </row>
    <row r="93">
      <c r="A93" s="1" t="n">
        <v>90</v>
      </c>
      <c r="B93" s="80" t="inlineStr">
        <is>
          <t>Sela com colar 38 mm</t>
        </is>
      </c>
      <c r="C93" s="79" t="n"/>
      <c r="D93" s="79" t="n">
        <v>1</v>
      </c>
      <c r="E93" s="263" t="n">
        <v>860</v>
      </c>
      <c r="F93" s="263">
        <f>E93*D93</f>
        <v/>
      </c>
      <c r="G93" s="4" t="inlineStr">
        <is>
          <t>L</t>
        </is>
      </c>
    </row>
    <row r="94">
      <c r="A94" s="1" t="n">
        <v>91</v>
      </c>
      <c r="B94" s="80" t="inlineStr">
        <is>
          <t>Sela para amarração de corda</t>
        </is>
      </c>
      <c r="C94" s="79" t="n"/>
      <c r="D94" s="79" t="n">
        <v>1</v>
      </c>
      <c r="E94" s="263" t="n">
        <v>510</v>
      </c>
      <c r="F94" s="263">
        <f>E94*D94</f>
        <v/>
      </c>
      <c r="G94" s="4" t="inlineStr">
        <is>
          <t>L</t>
        </is>
      </c>
      <c r="T94" t="n">
        <v>1900</v>
      </c>
    </row>
    <row r="95">
      <c r="A95" s="1" t="n">
        <v>92</v>
      </c>
      <c r="B95" s="80" t="inlineStr">
        <is>
          <t>Serra para galhos adaptável em vara de manobra</t>
        </is>
      </c>
      <c r="C95" s="79" t="n"/>
      <c r="D95" s="79" t="n">
        <v>2</v>
      </c>
      <c r="E95" s="263" t="n">
        <v>313</v>
      </c>
      <c r="F95" s="263">
        <f>E95*D95</f>
        <v/>
      </c>
      <c r="G95" s="4" t="inlineStr">
        <is>
          <t>L</t>
        </is>
      </c>
      <c r="T95" t="n">
        <v>1900</v>
      </c>
    </row>
    <row r="96" ht="18" customHeight="1">
      <c r="A96" s="1" t="n">
        <v>93</v>
      </c>
      <c r="B96" s="80" t="inlineStr">
        <is>
          <t>Serra poda hidráulica ISOLADA PARA LINHA VIVA;longa 2000 rs</t>
        </is>
      </c>
      <c r="C96" s="79" t="inlineStr">
        <is>
          <t>EE</t>
        </is>
      </c>
      <c r="D96" s="79" t="n">
        <v>1</v>
      </c>
      <c r="E96" s="263" t="n"/>
      <c r="F96" s="263">
        <f>E96*D96</f>
        <v/>
      </c>
      <c r="G96" s="4" t="inlineStr">
        <is>
          <t>L</t>
        </is>
      </c>
      <c r="T96">
        <f>SUM(T94:T95)</f>
        <v/>
      </c>
    </row>
    <row r="97">
      <c r="A97" s="1" t="n">
        <v>94</v>
      </c>
      <c r="B97" s="80" t="inlineStr">
        <is>
          <t xml:space="preserve">Suporte isolado para “by-pass” </t>
        </is>
      </c>
      <c r="C97" s="79" t="inlineStr">
        <is>
          <t>EE</t>
        </is>
      </c>
      <c r="D97" s="79" t="n">
        <v>3</v>
      </c>
      <c r="E97" s="263" t="n">
        <v>380</v>
      </c>
      <c r="F97" s="263">
        <f>E97*D97</f>
        <v/>
      </c>
      <c r="G97" s="4" t="inlineStr">
        <is>
          <t>L</t>
        </is>
      </c>
      <c r="T97">
        <f>S98-T96</f>
        <v/>
      </c>
    </row>
    <row r="98">
      <c r="A98" s="1" t="n">
        <v>95</v>
      </c>
      <c r="B98" s="75" t="inlineStr">
        <is>
          <t>Talha com tirante de nylon – 1000 kgf</t>
        </is>
      </c>
      <c r="C98" s="1" t="n"/>
      <c r="D98" s="1" t="n">
        <v>2</v>
      </c>
      <c r="E98" s="263" t="n">
        <v>4490</v>
      </c>
      <c r="F98" s="263">
        <f>E98*D98</f>
        <v/>
      </c>
      <c r="G98" s="4" t="inlineStr">
        <is>
          <t>L</t>
        </is>
      </c>
      <c r="S98" t="n">
        <v>4567</v>
      </c>
    </row>
    <row r="99">
      <c r="A99" s="1" t="n">
        <v>96</v>
      </c>
      <c r="B99" s="75" t="inlineStr">
        <is>
          <t>Talha com tirante de nylon – 2000 kgf</t>
        </is>
      </c>
      <c r="C99" s="1" t="n"/>
      <c r="D99" s="1" t="n">
        <v>1</v>
      </c>
      <c r="E99" s="263" t="n">
        <v>5150</v>
      </c>
      <c r="F99" s="263">
        <f>E99*D99</f>
        <v/>
      </c>
      <c r="G99" s="4" t="inlineStr">
        <is>
          <t>L</t>
        </is>
      </c>
    </row>
    <row r="100">
      <c r="A100" s="1" t="n">
        <v>97</v>
      </c>
      <c r="B100" s="80" t="inlineStr">
        <is>
          <t>Terminal para “by-pass” com cabo 35 mm²</t>
        </is>
      </c>
      <c r="C100" s="79" t="n"/>
      <c r="D100" s="79" t="n">
        <v>12</v>
      </c>
      <c r="E100" s="263" t="n">
        <v>119</v>
      </c>
      <c r="F100" s="263">
        <f>E100*D100</f>
        <v/>
      </c>
      <c r="G100" s="4" t="inlineStr">
        <is>
          <t>L</t>
        </is>
      </c>
    </row>
    <row r="101">
      <c r="A101" s="1" t="n">
        <v>98</v>
      </c>
      <c r="B101" s="80" t="inlineStr">
        <is>
          <t>Terminal para “by-pass” com cabo 70 mm²</t>
        </is>
      </c>
      <c r="C101" s="79" t="n"/>
      <c r="D101" s="79" t="n">
        <v>12</v>
      </c>
      <c r="E101" s="263" t="n">
        <v>140</v>
      </c>
      <c r="F101" s="263">
        <f>E101*D101</f>
        <v/>
      </c>
      <c r="G101" s="4" t="inlineStr">
        <is>
          <t>L</t>
        </is>
      </c>
    </row>
    <row r="102">
      <c r="A102" s="1" t="n">
        <v>99</v>
      </c>
      <c r="B102" s="75" t="inlineStr">
        <is>
          <t>Tesourão para corte de cabo 760mm</t>
        </is>
      </c>
      <c r="C102" s="1" t="n"/>
      <c r="D102" s="1" t="n">
        <v>1</v>
      </c>
      <c r="E102" s="263" t="n">
        <v>2110</v>
      </c>
      <c r="F102" s="263">
        <f>E102*D102</f>
        <v/>
      </c>
      <c r="G102" s="4" t="inlineStr">
        <is>
          <t>L</t>
        </is>
      </c>
    </row>
    <row r="103">
      <c r="A103" s="1" t="n">
        <v>100</v>
      </c>
      <c r="B103" s="75" t="inlineStr">
        <is>
          <t>Trena de 50m</t>
        </is>
      </c>
      <c r="C103" s="1" t="n"/>
      <c r="D103" s="1" t="n">
        <v>1</v>
      </c>
      <c r="E103" s="263" t="n">
        <v>49</v>
      </c>
      <c r="F103" s="263">
        <f>E103*D103</f>
        <v/>
      </c>
      <c r="G103" s="4" t="inlineStr">
        <is>
          <t>L</t>
        </is>
      </c>
    </row>
    <row r="104">
      <c r="A104" s="4" t="n"/>
      <c r="B104" s="93" t="inlineStr">
        <is>
          <t>TOTAL</t>
        </is>
      </c>
      <c r="C104" s="92" t="n"/>
      <c r="D104" s="92" t="n"/>
      <c r="E104" s="265" t="n"/>
      <c r="F104" s="265">
        <f>SUM(F4:F103)</f>
        <v/>
      </c>
      <c r="G104" s="4" t="n"/>
    </row>
    <row r="105">
      <c r="A105" s="4" t="n"/>
      <c r="B105" s="90" t="n"/>
      <c r="C105" s="4" t="n"/>
      <c r="D105" s="4" t="n"/>
      <c r="G105" s="4" t="n"/>
    </row>
    <row r="106">
      <c r="A106" s="224" t="inlineStr">
        <is>
          <t>UNIFORMES</t>
        </is>
      </c>
      <c r="B106" s="119" t="n"/>
      <c r="C106" s="119" t="n"/>
      <c r="D106" s="119" t="n"/>
      <c r="E106" s="119" t="n"/>
      <c r="F106" s="119" t="n"/>
      <c r="G106" s="4" t="n"/>
    </row>
    <row r="107">
      <c r="A107" s="67" t="inlineStr">
        <is>
          <t>SQ</t>
        </is>
      </c>
      <c r="B107" s="68" t="inlineStr">
        <is>
          <t>DESCRIÇÃO</t>
        </is>
      </c>
      <c r="C107" s="67" t="inlineStr">
        <is>
          <t>ENSAIO</t>
        </is>
      </c>
      <c r="D107" s="67" t="inlineStr">
        <is>
          <t>QTD</t>
        </is>
      </c>
      <c r="E107" s="67" t="inlineStr">
        <is>
          <t>VALOR U</t>
        </is>
      </c>
      <c r="F107" s="67" t="inlineStr">
        <is>
          <t>VALOR T</t>
        </is>
      </c>
      <c r="G107" s="4" t="n"/>
    </row>
    <row r="108">
      <c r="A108" s="1" t="n">
        <v>101</v>
      </c>
      <c r="B108" s="75" t="inlineStr">
        <is>
          <t>Calça antichama com faixa refletiva ETS 1055</t>
        </is>
      </c>
      <c r="C108" s="1" t="n"/>
      <c r="D108" s="1" t="n">
        <v>6</v>
      </c>
      <c r="E108" s="88" t="n">
        <v>250</v>
      </c>
      <c r="F108" s="89">
        <f>E108*D108</f>
        <v/>
      </c>
      <c r="G108" s="4" t="inlineStr">
        <is>
          <t>C</t>
        </is>
      </c>
    </row>
    <row r="109" ht="18.75" customHeight="1">
      <c r="A109" s="1" t="n">
        <v>102</v>
      </c>
      <c r="B109" s="75" t="inlineStr">
        <is>
          <t>Camisa antichama - manga comprida com faixa refletiva ets 1055</t>
        </is>
      </c>
      <c r="C109" s="1" t="n"/>
      <c r="D109" s="1" t="n">
        <v>6</v>
      </c>
      <c r="E109" s="88" t="n">
        <v>155</v>
      </c>
      <c r="F109" s="88">
        <f>E109*D109</f>
        <v/>
      </c>
      <c r="G109" s="4" t="inlineStr">
        <is>
          <t>C</t>
        </is>
      </c>
    </row>
    <row r="110">
      <c r="A110" s="1" t="n">
        <v>103</v>
      </c>
      <c r="B110" s="75" t="inlineStr">
        <is>
          <t>Camiseta manga comprida ets 1055</t>
        </is>
      </c>
      <c r="C110" s="1" t="n"/>
      <c r="D110" s="1" t="n">
        <v>6</v>
      </c>
      <c r="E110" s="88" t="n">
        <v>45</v>
      </c>
      <c r="F110" s="88">
        <f>E110*D110</f>
        <v/>
      </c>
      <c r="G110" s="4" t="inlineStr">
        <is>
          <t>C</t>
        </is>
      </c>
    </row>
    <row r="111" ht="27" customHeight="1">
      <c r="A111" s="1" t="n">
        <v>104</v>
      </c>
      <c r="B111" s="81" t="inlineStr">
        <is>
          <t>Conjunto segurança para operador de motosserra (Capacete de segurança articulado, equipado com protetor auricular tipo concha e facial de tela, e calça de segurança)</t>
        </is>
      </c>
      <c r="C111" s="1" t="n"/>
      <c r="D111" s="1" t="n">
        <v>1</v>
      </c>
      <c r="E111" s="32" t="n">
        <v>930</v>
      </c>
      <c r="F111" s="32">
        <f>E111*D111</f>
        <v/>
      </c>
      <c r="G111" s="4" t="inlineStr">
        <is>
          <t>C</t>
        </is>
      </c>
    </row>
    <row r="112">
      <c r="A112" s="1" t="n">
        <v>105</v>
      </c>
      <c r="B112" s="75" t="inlineStr">
        <is>
          <t>Jaqueta Antichama ETS 1081</t>
        </is>
      </c>
      <c r="C112" s="1" t="n"/>
      <c r="D112" s="1" t="n">
        <v>3</v>
      </c>
      <c r="E112" s="32" t="n">
        <v>550</v>
      </c>
      <c r="F112" s="32">
        <f>E112*D112</f>
        <v/>
      </c>
      <c r="G112" s="4" t="inlineStr">
        <is>
          <t>C</t>
        </is>
      </c>
    </row>
    <row r="113">
      <c r="A113" s="1" t="n">
        <v>106</v>
      </c>
      <c r="B113" s="75" t="inlineStr">
        <is>
          <t>Touca árabe antichama ETS 1088</t>
        </is>
      </c>
      <c r="C113" s="1" t="n"/>
      <c r="D113" s="1" t="n">
        <v>3</v>
      </c>
      <c r="E113" s="32" t="n">
        <v>150</v>
      </c>
      <c r="F113" s="32">
        <f>E113*D113</f>
        <v/>
      </c>
      <c r="G113" s="4" t="inlineStr">
        <is>
          <t>C</t>
        </is>
      </c>
    </row>
    <row r="114">
      <c r="A114" s="1" t="n">
        <v>107</v>
      </c>
      <c r="B114" s="75" t="inlineStr">
        <is>
          <t>Conjunto impermeável ETS 1006</t>
        </is>
      </c>
      <c r="C114" s="1" t="n"/>
      <c r="D114" s="1" t="n">
        <v>3</v>
      </c>
      <c r="E114" s="32" t="n">
        <v>390</v>
      </c>
      <c r="F114" s="32">
        <f>E114*D114</f>
        <v/>
      </c>
      <c r="G114" s="4" t="inlineStr">
        <is>
          <t>C</t>
        </is>
      </c>
    </row>
    <row r="115">
      <c r="A115" s="84" t="n"/>
      <c r="B115" s="85" t="inlineStr">
        <is>
          <t>TOTAL</t>
        </is>
      </c>
      <c r="C115" s="84" t="n"/>
      <c r="D115" s="84" t="n"/>
      <c r="E115" s="83" t="n"/>
      <c r="F115" s="82">
        <f>SUM(F108:F114)</f>
        <v/>
      </c>
      <c r="G115" s="4" t="n"/>
    </row>
    <row r="116">
      <c r="A116" s="1" t="n"/>
      <c r="B116" s="75" t="n"/>
      <c r="C116" s="1" t="n"/>
      <c r="D116" s="1" t="n"/>
      <c r="E116" s="32" t="n"/>
    </row>
    <row r="117">
      <c r="A117" s="224" t="inlineStr">
        <is>
          <t>EQUIPAMENTOS DE PROTEÇÃO INDIVIDUAL</t>
        </is>
      </c>
      <c r="B117" s="119" t="n"/>
      <c r="C117" s="119" t="n"/>
      <c r="D117" s="119" t="n"/>
      <c r="E117" s="119" t="n"/>
      <c r="F117" s="119" t="n"/>
    </row>
    <row r="118">
      <c r="A118" s="67" t="inlineStr">
        <is>
          <t>SQ</t>
        </is>
      </c>
      <c r="B118" s="68" t="inlineStr">
        <is>
          <t>DESCRIÇÃO</t>
        </is>
      </c>
      <c r="C118" s="67" t="inlineStr">
        <is>
          <t>ENSAIO</t>
        </is>
      </c>
      <c r="D118" s="67" t="inlineStr">
        <is>
          <t>QTD</t>
        </is>
      </c>
      <c r="E118" s="67" t="inlineStr">
        <is>
          <t>VALOR U</t>
        </is>
      </c>
      <c r="F118" s="67" t="inlineStr">
        <is>
          <t>VALOR T</t>
        </is>
      </c>
    </row>
    <row r="119">
      <c r="A119" s="1" t="n">
        <v>108</v>
      </c>
      <c r="B119" s="75" t="inlineStr">
        <is>
          <t>Capacete de aba frontal, tipo II – classe B ETS 1015</t>
        </is>
      </c>
      <c r="C119" s="1" t="n"/>
      <c r="D119" s="1" t="n">
        <v>3</v>
      </c>
      <c r="E119" s="34" t="n">
        <v>80</v>
      </c>
      <c r="F119" s="34">
        <f>E119*D119</f>
        <v/>
      </c>
      <c r="G119" s="4" t="inlineStr">
        <is>
          <t>C</t>
        </is>
      </c>
    </row>
    <row r="120">
      <c r="A120" s="1" t="n">
        <v>109</v>
      </c>
      <c r="B120" s="75" t="inlineStr">
        <is>
          <t>Conjunto de Segurança para Trabalhos em Altura ETS 1019</t>
        </is>
      </c>
      <c r="C120" s="1" t="n"/>
      <c r="D120" s="1" t="n">
        <v>3</v>
      </c>
      <c r="E120" s="34" t="n">
        <v>1900</v>
      </c>
      <c r="F120" s="34">
        <f>E120*D120</f>
        <v/>
      </c>
      <c r="G120" s="4" t="inlineStr">
        <is>
          <t>C</t>
        </is>
      </c>
    </row>
    <row r="121">
      <c r="A121" s="1" t="n">
        <v>110</v>
      </c>
      <c r="B121" s="29" t="inlineStr">
        <is>
          <t>Conjunto de segurança para trabalho em cesto aéreo ETS 1066</t>
        </is>
      </c>
      <c r="C121" s="1" t="n"/>
      <c r="D121" s="1" t="n">
        <v>3</v>
      </c>
      <c r="E121" s="34" t="n">
        <v>2350</v>
      </c>
      <c r="F121" s="34">
        <f>E121*D121</f>
        <v/>
      </c>
      <c r="G121" s="4" t="inlineStr">
        <is>
          <t>C</t>
        </is>
      </c>
    </row>
    <row r="122">
      <c r="A122" s="1" t="n">
        <v>111</v>
      </c>
      <c r="B122" s="29" t="inlineStr">
        <is>
          <t>Luva de borracha – classe 4 – 36 kV (par) ETS 2015</t>
        </is>
      </c>
      <c r="C122" s="1" t="n"/>
      <c r="D122" s="1" t="n">
        <v>4</v>
      </c>
      <c r="E122" s="34" t="n">
        <v>1750</v>
      </c>
      <c r="F122" s="34">
        <f>E122*D122</f>
        <v/>
      </c>
      <c r="G122" s="4" t="inlineStr">
        <is>
          <t>C</t>
        </is>
      </c>
    </row>
    <row r="123">
      <c r="A123" s="1" t="n">
        <v>112</v>
      </c>
      <c r="B123" s="29" t="inlineStr">
        <is>
          <t>Luva de borracha – classe 2 – 17 kV (par) ETS 2015</t>
        </is>
      </c>
      <c r="C123" s="1" t="n"/>
      <c r="D123" s="1" t="n">
        <v>5</v>
      </c>
      <c r="E123" s="34" t="n">
        <v>590</v>
      </c>
      <c r="F123" s="34">
        <f>E123*D123</f>
        <v/>
      </c>
      <c r="G123" s="4" t="inlineStr">
        <is>
          <t>C</t>
        </is>
      </c>
    </row>
    <row r="124">
      <c r="A124" s="1" t="n">
        <v>113</v>
      </c>
      <c r="B124" s="29" t="inlineStr">
        <is>
          <t>Luva de vaqueta (par) ETS 1014</t>
        </is>
      </c>
      <c r="C124" s="1" t="n"/>
      <c r="D124" s="1" t="n">
        <v>6</v>
      </c>
      <c r="E124" s="34" t="n">
        <v>18</v>
      </c>
      <c r="F124" s="34">
        <f>E124*D124</f>
        <v/>
      </c>
      <c r="G124" s="4" t="inlineStr">
        <is>
          <t>C</t>
        </is>
      </c>
    </row>
    <row r="125">
      <c r="A125" s="1" t="n">
        <v>114</v>
      </c>
      <c r="B125" s="29" t="inlineStr">
        <is>
          <t>Luva de vaqueta para proteção da luva isolante (par) ETS 1014</t>
        </is>
      </c>
      <c r="C125" s="1" t="n"/>
      <c r="D125" s="1" t="n">
        <v>3</v>
      </c>
      <c r="E125" s="34" t="n">
        <v>30</v>
      </c>
      <c r="F125" s="34">
        <f>E125*D125</f>
        <v/>
      </c>
      <c r="G125" s="4" t="inlineStr">
        <is>
          <t>C</t>
        </is>
      </c>
    </row>
    <row r="126">
      <c r="A126" s="1" t="n">
        <v>115</v>
      </c>
      <c r="B126" s="87" t="inlineStr">
        <is>
          <t>Manga de borracha classe 2 – 17 kV – regular ETS 1095</t>
        </is>
      </c>
      <c r="C126" s="79" t="inlineStr">
        <is>
          <t>EE</t>
        </is>
      </c>
      <c r="D126" s="79" t="n">
        <v>3</v>
      </c>
      <c r="E126" s="34" t="n">
        <v>995</v>
      </c>
      <c r="F126" s="34">
        <f>E126*D126</f>
        <v/>
      </c>
      <c r="G126" s="4" t="inlineStr">
        <is>
          <t>C</t>
        </is>
      </c>
    </row>
    <row r="127">
      <c r="A127" s="1" t="n">
        <v>116</v>
      </c>
      <c r="B127" s="87" t="inlineStr">
        <is>
          <t>Manga de borracha classe IV 36 Kv ETS 1095</t>
        </is>
      </c>
      <c r="C127" s="79" t="inlineStr">
        <is>
          <t>EE</t>
        </is>
      </c>
      <c r="D127" s="79" t="n">
        <v>3</v>
      </c>
      <c r="E127" s="34" t="n">
        <v>1980</v>
      </c>
      <c r="F127" s="34">
        <f>E127*D127</f>
        <v/>
      </c>
      <c r="G127" s="4" t="inlineStr">
        <is>
          <t>C</t>
        </is>
      </c>
    </row>
    <row r="128">
      <c r="A128" s="1" t="n">
        <v>117</v>
      </c>
      <c r="B128" s="86" t="inlineStr">
        <is>
          <t>Meia bota ou coturno de couro com solado isolado (par) ETS 1020 ou 1022</t>
        </is>
      </c>
      <c r="C128" s="1" t="inlineStr">
        <is>
          <t>EE</t>
        </is>
      </c>
      <c r="D128" s="1" t="n">
        <v>6</v>
      </c>
      <c r="E128" s="32" t="n">
        <v>140</v>
      </c>
      <c r="F128" s="32">
        <f>E128*D128</f>
        <v/>
      </c>
      <c r="G128" s="4" t="inlineStr">
        <is>
          <t>C</t>
        </is>
      </c>
    </row>
    <row r="129">
      <c r="A129" s="1" t="n">
        <v>118</v>
      </c>
      <c r="B129" s="75" t="inlineStr">
        <is>
          <t>Óculos de segurança com lente escura ETS 1037</t>
        </is>
      </c>
      <c r="C129" s="1" t="n"/>
      <c r="D129" s="1" t="n">
        <v>3</v>
      </c>
      <c r="E129" s="32" t="n">
        <v>6</v>
      </c>
      <c r="F129" s="32">
        <f>E129*D129</f>
        <v/>
      </c>
      <c r="G129" s="4" t="inlineStr">
        <is>
          <t>C</t>
        </is>
      </c>
    </row>
    <row r="130">
      <c r="A130" s="1" t="n">
        <v>119</v>
      </c>
      <c r="B130" s="75" t="inlineStr">
        <is>
          <t>Protetor solar – fator 30 ETS 1047</t>
        </is>
      </c>
      <c r="C130" s="1" t="n"/>
      <c r="D130" s="1" t="n">
        <v>3</v>
      </c>
      <c r="E130" s="32" t="n">
        <v>60</v>
      </c>
      <c r="F130" s="32">
        <f>E130*D130</f>
        <v/>
      </c>
      <c r="G130" s="4" t="inlineStr">
        <is>
          <t>C</t>
        </is>
      </c>
    </row>
    <row r="131">
      <c r="A131" s="1" t="n">
        <v>120</v>
      </c>
      <c r="B131" s="75" t="inlineStr">
        <is>
          <t>Talco antisséptico</t>
        </is>
      </c>
      <c r="C131" s="1" t="n"/>
      <c r="D131" s="1" t="n">
        <v>1</v>
      </c>
      <c r="E131" s="32" t="n">
        <v>12</v>
      </c>
      <c r="F131" s="32">
        <f>E131*D131</f>
        <v/>
      </c>
      <c r="G131" s="4" t="inlineStr">
        <is>
          <t>C</t>
        </is>
      </c>
    </row>
    <row r="132">
      <c r="A132" s="84" t="n"/>
      <c r="B132" s="85" t="inlineStr">
        <is>
          <t>TOTAL</t>
        </is>
      </c>
      <c r="C132" s="84" t="n"/>
      <c r="D132" s="84" t="n"/>
      <c r="E132" s="83" t="n"/>
      <c r="F132" s="82">
        <f>SUM(F119:F131)</f>
        <v/>
      </c>
      <c r="G132" s="4" t="n"/>
    </row>
    <row r="133">
      <c r="A133" s="1" t="n"/>
      <c r="B133" s="75" t="n"/>
      <c r="C133" s="1" t="n"/>
      <c r="D133" s="1" t="n"/>
      <c r="E133" s="29" t="n"/>
    </row>
    <row r="134">
      <c r="A134" s="224" t="inlineStr">
        <is>
          <t>EQUIPAMENTOS DE "LINHA VIVA" PARA USO COLETIVO</t>
        </is>
      </c>
      <c r="B134" s="119" t="n"/>
      <c r="C134" s="119" t="n"/>
      <c r="D134" s="119" t="n"/>
      <c r="E134" s="119" t="n"/>
      <c r="F134" s="119" t="n"/>
    </row>
    <row r="135">
      <c r="A135" s="67" t="inlineStr">
        <is>
          <t>SQ</t>
        </is>
      </c>
      <c r="B135" s="68" t="inlineStr">
        <is>
          <t>DESCRIÇÃO</t>
        </is>
      </c>
      <c r="C135" s="67" t="inlineStr">
        <is>
          <t>ENSAIO</t>
        </is>
      </c>
      <c r="D135" s="67" t="inlineStr">
        <is>
          <t>QTD</t>
        </is>
      </c>
      <c r="E135" s="67" t="inlineStr">
        <is>
          <t>VALOR U</t>
        </is>
      </c>
      <c r="F135" s="67" t="inlineStr">
        <is>
          <t>VALOR T</t>
        </is>
      </c>
    </row>
    <row r="136">
      <c r="A136" s="1" t="n">
        <v>121</v>
      </c>
      <c r="B136" s="75" t="inlineStr">
        <is>
          <t>Alicate Volt-Amperímetro Categoria IV</t>
        </is>
      </c>
      <c r="C136" s="1" t="inlineStr">
        <is>
          <t>EE</t>
        </is>
      </c>
      <c r="D136" s="1" t="n">
        <v>1</v>
      </c>
      <c r="E136" s="34" t="n">
        <v>650</v>
      </c>
      <c r="F136" s="34">
        <f>E136*D136</f>
        <v/>
      </c>
      <c r="G136" s="4" t="inlineStr">
        <is>
          <t>L</t>
        </is>
      </c>
    </row>
    <row r="137">
      <c r="A137" s="1" t="n">
        <v>122</v>
      </c>
      <c r="B137" s="80" t="inlineStr">
        <is>
          <t>Banqueta isolada</t>
        </is>
      </c>
      <c r="C137" s="79" t="inlineStr">
        <is>
          <t>EE</t>
        </is>
      </c>
      <c r="D137" s="79" t="n">
        <v>1</v>
      </c>
      <c r="E137" s="32" t="n">
        <v>630</v>
      </c>
      <c r="F137" s="34">
        <f>E137*D137</f>
        <v/>
      </c>
      <c r="G137" s="4" t="inlineStr">
        <is>
          <t>L</t>
        </is>
      </c>
    </row>
    <row r="138">
      <c r="A138" s="1" t="n">
        <v>123</v>
      </c>
      <c r="B138" s="80" t="inlineStr">
        <is>
          <t>Cobertura circular 100 x 900 mm - 20 kV (rígida)</t>
        </is>
      </c>
      <c r="C138" s="79" t="inlineStr">
        <is>
          <t>EE</t>
        </is>
      </c>
      <c r="D138" s="79" t="n">
        <v>3</v>
      </c>
      <c r="E138" s="32" t="n">
        <v>280</v>
      </c>
      <c r="F138" s="34">
        <f>E138*D138</f>
        <v/>
      </c>
      <c r="G138" s="4" t="inlineStr">
        <is>
          <t>L</t>
        </is>
      </c>
    </row>
    <row r="139">
      <c r="A139" s="1" t="n">
        <v>124</v>
      </c>
      <c r="B139" s="80" t="inlineStr">
        <is>
          <t xml:space="preserve">Cobertura circular 150 x 300 mm - 20 kV (rígida) </t>
        </is>
      </c>
      <c r="C139" s="79" t="inlineStr">
        <is>
          <t>EE</t>
        </is>
      </c>
      <c r="D139" s="79" t="n">
        <v>6</v>
      </c>
      <c r="E139" s="32" t="n">
        <v>245</v>
      </c>
      <c r="F139" s="34">
        <f>E139*D139</f>
        <v/>
      </c>
      <c r="G139" s="4" t="inlineStr">
        <is>
          <t>L</t>
        </is>
      </c>
    </row>
    <row r="140">
      <c r="A140" s="1" t="n">
        <v>125</v>
      </c>
      <c r="B140" s="80" t="inlineStr">
        <is>
          <t>Cobertura circular 150 x 600 mm - 20 kV (rígida)</t>
        </is>
      </c>
      <c r="C140" s="79" t="inlineStr">
        <is>
          <t>EE</t>
        </is>
      </c>
      <c r="D140" s="79" t="n">
        <v>9</v>
      </c>
      <c r="E140" s="32" t="n">
        <v>260</v>
      </c>
      <c r="F140" s="34">
        <f>E140*D140</f>
        <v/>
      </c>
      <c r="G140" s="4" t="inlineStr">
        <is>
          <t>L</t>
        </is>
      </c>
    </row>
    <row r="141">
      <c r="A141" s="1" t="n">
        <v>126</v>
      </c>
      <c r="B141" s="80" t="inlineStr">
        <is>
          <t xml:space="preserve">Cobertura para chave (borracha), classe 2 </t>
        </is>
      </c>
      <c r="C141" s="79" t="inlineStr">
        <is>
          <t>EE</t>
        </is>
      </c>
      <c r="D141" s="79" t="n">
        <v>2</v>
      </c>
      <c r="E141" s="32" t="n">
        <v>950</v>
      </c>
      <c r="F141" s="34">
        <f>E141*D141</f>
        <v/>
      </c>
      <c r="G141" s="4" t="inlineStr">
        <is>
          <t>L</t>
        </is>
      </c>
    </row>
    <row r="142">
      <c r="A142" s="1" t="n">
        <v>127</v>
      </c>
      <c r="B142" s="80" t="inlineStr">
        <is>
          <t>Cobertura para chave (borracha), classe 4</t>
        </is>
      </c>
      <c r="C142" s="79" t="inlineStr">
        <is>
          <t>EE</t>
        </is>
      </c>
      <c r="D142" s="79" t="n">
        <v>3</v>
      </c>
      <c r="E142" s="32" t="n">
        <v>7900</v>
      </c>
      <c r="F142" s="34">
        <f>E142*D142</f>
        <v/>
      </c>
      <c r="G142" s="4" t="inlineStr">
        <is>
          <t>L</t>
        </is>
      </c>
    </row>
    <row r="143">
      <c r="A143" s="1" t="n">
        <v>128</v>
      </c>
      <c r="B143" s="80" t="inlineStr">
        <is>
          <t>Cobertura para condutor 20 kV (borracha) classe 2</t>
        </is>
      </c>
      <c r="C143" s="79" t="inlineStr">
        <is>
          <t>EE</t>
        </is>
      </c>
      <c r="D143" s="79" t="n">
        <v>6</v>
      </c>
      <c r="E143" s="32" t="n">
        <v>350</v>
      </c>
      <c r="F143" s="34">
        <f>E143*D143</f>
        <v/>
      </c>
      <c r="G143" s="4" t="inlineStr">
        <is>
          <t>L</t>
        </is>
      </c>
    </row>
    <row r="144">
      <c r="A144" s="1" t="n">
        <v>129</v>
      </c>
      <c r="B144" s="80" t="inlineStr">
        <is>
          <t>Cobertura para condutor 25 kV (rígida)</t>
        </is>
      </c>
      <c r="C144" s="79" t="inlineStr">
        <is>
          <t>EE</t>
        </is>
      </c>
      <c r="D144" s="79" t="n">
        <v>12</v>
      </c>
      <c r="E144" s="32" t="n">
        <v>310</v>
      </c>
      <c r="F144" s="34">
        <f>E144*D144</f>
        <v/>
      </c>
      <c r="G144" s="4" t="inlineStr">
        <is>
          <t>L</t>
        </is>
      </c>
    </row>
    <row r="145">
      <c r="A145" s="1" t="n">
        <v>130</v>
      </c>
      <c r="B145" s="80" t="inlineStr">
        <is>
          <t>Cobertura para condutor 36 kV (rígida)</t>
        </is>
      </c>
      <c r="C145" s="79" t="inlineStr">
        <is>
          <t>EE</t>
        </is>
      </c>
      <c r="D145" s="79" t="n">
        <v>12</v>
      </c>
      <c r="E145" s="32" t="n">
        <v>450</v>
      </c>
      <c r="F145" s="34">
        <f>E145*D145</f>
        <v/>
      </c>
      <c r="G145" s="4" t="inlineStr">
        <is>
          <t>L</t>
        </is>
      </c>
    </row>
    <row r="146">
      <c r="A146" s="1" t="n">
        <v>131</v>
      </c>
      <c r="B146" s="80" t="inlineStr">
        <is>
          <t>Cobertura para condutor XLPE 185 mm RDC (rígida)</t>
        </is>
      </c>
      <c r="C146" s="79" t="inlineStr">
        <is>
          <t>EE</t>
        </is>
      </c>
      <c r="D146" s="79" t="n">
        <v>6</v>
      </c>
      <c r="E146" s="32" t="n">
        <v>515</v>
      </c>
      <c r="F146" s="34">
        <f>E146*D146</f>
        <v/>
      </c>
      <c r="G146" s="4" t="inlineStr">
        <is>
          <t>L</t>
        </is>
      </c>
    </row>
    <row r="147">
      <c r="A147" s="1" t="n">
        <v>132</v>
      </c>
      <c r="B147" s="80" t="inlineStr">
        <is>
          <t>Cobertura para cruzeta com isolador pilar (rígida)</t>
        </is>
      </c>
      <c r="C147" s="79" t="inlineStr">
        <is>
          <t>EE</t>
        </is>
      </c>
      <c r="D147" s="79" t="n">
        <v>1</v>
      </c>
      <c r="E147" s="32" t="n">
        <v>642.71</v>
      </c>
      <c r="F147" s="34">
        <f>E147*D147</f>
        <v/>
      </c>
      <c r="G147" s="4" t="inlineStr">
        <is>
          <t>L</t>
        </is>
      </c>
    </row>
    <row r="148">
      <c r="A148" s="1" t="n">
        <v>133</v>
      </c>
      <c r="B148" s="80" t="inlineStr">
        <is>
          <t>Cobertura para cruzeta com isolador de pino (rígida)</t>
        </is>
      </c>
      <c r="C148" s="79" t="inlineStr">
        <is>
          <t>EE</t>
        </is>
      </c>
      <c r="D148" s="79" t="n">
        <v>1</v>
      </c>
      <c r="E148" s="32" t="n">
        <v>526.01</v>
      </c>
      <c r="F148" s="34">
        <f>E148*D148</f>
        <v/>
      </c>
      <c r="G148" s="4" t="inlineStr">
        <is>
          <t>L</t>
        </is>
      </c>
    </row>
    <row r="149">
      <c r="A149" s="1" t="n">
        <v>134</v>
      </c>
      <c r="B149" s="80" t="inlineStr">
        <is>
          <t xml:space="preserve">Cobertura para isolador pilar e polimérico 26,4 kV (rígida) </t>
        </is>
      </c>
      <c r="C149" s="79" t="inlineStr">
        <is>
          <t>EE</t>
        </is>
      </c>
      <c r="D149" s="79" t="n">
        <v>3</v>
      </c>
      <c r="E149" s="32" t="n">
        <v>351.91</v>
      </c>
      <c r="F149" s="34">
        <f>E149*D149</f>
        <v/>
      </c>
      <c r="G149" s="4" t="inlineStr">
        <is>
          <t>L</t>
        </is>
      </c>
    </row>
    <row r="150">
      <c r="A150" s="1" t="n">
        <v>135</v>
      </c>
      <c r="B150" s="80" t="inlineStr">
        <is>
          <t>Cobertura para poste 230 x 1200 mm – 34,5 kV (rígida)</t>
        </is>
      </c>
      <c r="C150" s="79" t="inlineStr">
        <is>
          <t>EE</t>
        </is>
      </c>
      <c r="D150" s="79" t="n">
        <v>1</v>
      </c>
      <c r="E150" s="32" t="n">
        <v>630</v>
      </c>
      <c r="F150" s="34">
        <f>E150*D150</f>
        <v/>
      </c>
      <c r="G150" s="4" t="inlineStr">
        <is>
          <t>L</t>
        </is>
      </c>
    </row>
    <row r="151">
      <c r="A151" s="1" t="n">
        <v>136</v>
      </c>
      <c r="B151" s="80" t="inlineStr">
        <is>
          <t xml:space="preserve">Cobertura para poste 230 x 1800 mm – 34,5 kV (rígida) </t>
        </is>
      </c>
      <c r="C151" s="79" t="inlineStr">
        <is>
          <t>EE</t>
        </is>
      </c>
      <c r="D151" s="79" t="n">
        <v>2</v>
      </c>
      <c r="E151" s="32" t="n">
        <v>796.0599999999999</v>
      </c>
      <c r="F151" s="34">
        <f>E151*D151</f>
        <v/>
      </c>
      <c r="G151" s="4" t="inlineStr">
        <is>
          <t>L</t>
        </is>
      </c>
    </row>
    <row r="152">
      <c r="A152" s="1" t="n">
        <v>137</v>
      </c>
      <c r="B152" s="80" t="inlineStr">
        <is>
          <t>Cobertura para poste 230 x 600 mm - 34,5 kV (rígida)</t>
        </is>
      </c>
      <c r="C152" s="79" t="inlineStr">
        <is>
          <t>EE</t>
        </is>
      </c>
      <c r="D152" s="79" t="n">
        <v>9</v>
      </c>
      <c r="E152" s="32" t="n">
        <v>515</v>
      </c>
      <c r="F152" s="34">
        <f>E152*D152</f>
        <v/>
      </c>
      <c r="G152" s="4" t="inlineStr">
        <is>
          <t>L</t>
        </is>
      </c>
    </row>
    <row r="153">
      <c r="A153" s="1" t="n">
        <v>138</v>
      </c>
      <c r="B153" s="80" t="inlineStr">
        <is>
          <t>Cobertura para poste 305 x 1200 mm – 34,5 kV (rígida)</t>
        </is>
      </c>
      <c r="C153" s="79" t="inlineStr">
        <is>
          <t>EE</t>
        </is>
      </c>
      <c r="D153" s="79" t="n">
        <v>3</v>
      </c>
      <c r="E153" s="32" t="n">
        <v>815</v>
      </c>
      <c r="F153" s="34">
        <f>E153*D153</f>
        <v/>
      </c>
      <c r="G153" s="4" t="inlineStr">
        <is>
          <t>L</t>
        </is>
      </c>
    </row>
    <row r="154">
      <c r="A154" s="1" t="n">
        <v>139</v>
      </c>
      <c r="B154" s="80" t="inlineStr">
        <is>
          <t>Cobertura para suporte C RDC (rígida)</t>
        </is>
      </c>
      <c r="C154" s="79" t="inlineStr">
        <is>
          <t>EE</t>
        </is>
      </c>
      <c r="D154" s="79" t="n">
        <v>1</v>
      </c>
      <c r="E154" s="32" t="n">
        <v>389.25</v>
      </c>
      <c r="F154" s="34">
        <f>E154*D154</f>
        <v/>
      </c>
      <c r="G154" s="4" t="inlineStr">
        <is>
          <t>L</t>
        </is>
      </c>
    </row>
    <row r="155">
      <c r="A155" s="1" t="n">
        <v>140</v>
      </c>
      <c r="B155" s="80" t="inlineStr">
        <is>
          <t>Cobertura para suporte horizontal RDC (rígida)</t>
        </is>
      </c>
      <c r="C155" s="79" t="inlineStr">
        <is>
          <t>EE</t>
        </is>
      </c>
      <c r="D155" s="79" t="n">
        <v>1</v>
      </c>
      <c r="E155" s="32" t="n">
        <v>422.29</v>
      </c>
      <c r="F155" s="34">
        <f>E155*D155</f>
        <v/>
      </c>
      <c r="G155" s="4" t="inlineStr">
        <is>
          <t>L</t>
        </is>
      </c>
    </row>
    <row r="156">
      <c r="A156" s="1" t="n">
        <v>141</v>
      </c>
      <c r="B156" s="75" t="inlineStr">
        <is>
          <t>Cone de 750 mm de altura por veículo ETS 1031</t>
        </is>
      </c>
      <c r="C156" s="1" t="n"/>
      <c r="D156" s="1" t="n">
        <v>8</v>
      </c>
      <c r="E156" s="32" t="n">
        <v>99</v>
      </c>
      <c r="F156" s="32">
        <f>E156*D156</f>
        <v/>
      </c>
      <c r="G156" s="4" t="inlineStr">
        <is>
          <t>L</t>
        </is>
      </c>
    </row>
    <row r="157">
      <c r="A157" s="1" t="n">
        <v>142</v>
      </c>
      <c r="B157" s="75" t="inlineStr">
        <is>
          <t>Conjunto de aterramento sela</t>
        </is>
      </c>
      <c r="C157" s="1" t="n"/>
      <c r="D157" s="1" t="n">
        <v>2</v>
      </c>
      <c r="E157" s="32" t="n">
        <v>3434.51</v>
      </c>
      <c r="F157" s="32">
        <f>E157*D157</f>
        <v/>
      </c>
      <c r="G157" s="4" t="inlineStr">
        <is>
          <t>L</t>
        </is>
      </c>
    </row>
    <row r="158" ht="27.60000038146973" customHeight="1">
      <c r="A158" s="1" t="n">
        <v>143</v>
      </c>
      <c r="B158" s="81" t="inlineStr">
        <is>
          <t>Conjunto de aterramento temporário para rede secundária isolada (atender as especificações do equipamento definidas no MIT – 161606)</t>
        </is>
      </c>
      <c r="C158" s="1" t="n"/>
      <c r="D158" s="1" t="n">
        <v>2</v>
      </c>
      <c r="E158" s="32" t="n">
        <v>878.76</v>
      </c>
      <c r="F158" s="32">
        <f>E158*D158</f>
        <v/>
      </c>
      <c r="G158" s="4" t="inlineStr">
        <is>
          <t>L</t>
        </is>
      </c>
    </row>
    <row r="159">
      <c r="A159" s="1" t="n">
        <v>144</v>
      </c>
      <c r="B159" s="75" t="inlineStr">
        <is>
          <t>Detector de BT por contato com luz e som ETS 1034</t>
        </is>
      </c>
      <c r="C159" s="1" t="inlineStr">
        <is>
          <t>EE</t>
        </is>
      </c>
      <c r="D159" s="1" t="n">
        <v>1</v>
      </c>
      <c r="E159" s="32" t="n">
        <v>962.77</v>
      </c>
      <c r="F159" s="32">
        <f>E159*D159</f>
        <v/>
      </c>
      <c r="G159" s="4" t="inlineStr">
        <is>
          <t>L</t>
        </is>
      </c>
    </row>
    <row r="160">
      <c r="A160" s="1" t="n">
        <v>145</v>
      </c>
      <c r="B160" s="75" t="inlineStr">
        <is>
          <t>Detector de MT por contato com luz e som ETS 1034</t>
        </is>
      </c>
      <c r="C160" s="1" t="inlineStr">
        <is>
          <t>EE</t>
        </is>
      </c>
      <c r="D160" s="1" t="n">
        <v>1</v>
      </c>
      <c r="E160" s="32" t="n">
        <v>729.02</v>
      </c>
      <c r="F160" s="32">
        <f>E160*D160</f>
        <v/>
      </c>
      <c r="G160" s="4" t="inlineStr">
        <is>
          <t>L</t>
        </is>
      </c>
    </row>
    <row r="161">
      <c r="A161" s="1" t="n">
        <v>146</v>
      </c>
      <c r="B161" s="80" t="inlineStr">
        <is>
          <t>ISOLADOR,SUPORTE;PARA CONJ. ELEVACAO LV</t>
        </is>
      </c>
      <c r="C161" s="79" t="inlineStr">
        <is>
          <t>EE</t>
        </is>
      </c>
      <c r="D161" s="79" t="n">
        <v>3</v>
      </c>
      <c r="E161" s="32" t="n">
        <v>130.85</v>
      </c>
      <c r="F161" s="32">
        <f>E161*D161</f>
        <v/>
      </c>
      <c r="G161" s="4" t="inlineStr">
        <is>
          <t>L</t>
        </is>
      </c>
    </row>
    <row r="162">
      <c r="A162" s="1" t="n">
        <v>147</v>
      </c>
      <c r="B162" s="80" t="inlineStr">
        <is>
          <t>Lençol isolante com entalhe 900 x 900 mm classe 2 sem velcro</t>
        </is>
      </c>
      <c r="C162" s="79" t="inlineStr">
        <is>
          <t>EE</t>
        </is>
      </c>
      <c r="D162" s="79" t="n">
        <v>4</v>
      </c>
      <c r="E162" s="32" t="n">
        <v>523.72</v>
      </c>
      <c r="F162" s="32">
        <f>E162*D162</f>
        <v/>
      </c>
      <c r="G162" s="4" t="inlineStr">
        <is>
          <t>L</t>
        </is>
      </c>
    </row>
    <row r="163">
      <c r="A163" s="1" t="n">
        <v>148</v>
      </c>
      <c r="B163" s="80" t="inlineStr">
        <is>
          <t>Lençol isolante para BT com bolsa de lona</t>
        </is>
      </c>
      <c r="C163" s="79" t="n"/>
      <c r="D163" s="79" t="n">
        <v>4</v>
      </c>
      <c r="E163" s="32" t="n">
        <v>110.45</v>
      </c>
      <c r="F163" s="32">
        <f>E163*D163</f>
        <v/>
      </c>
      <c r="G163" s="4" t="inlineStr">
        <is>
          <t>L</t>
        </is>
      </c>
    </row>
    <row r="164" ht="15" customHeight="1">
      <c r="A164" s="1" t="n">
        <v>149</v>
      </c>
      <c r="B164" s="80" t="inlineStr">
        <is>
          <t>Lençol isolante sem entalhes 900 x 900 mm classe 2 sem velcro</t>
        </is>
      </c>
      <c r="C164" s="79" t="inlineStr">
        <is>
          <t>EE</t>
        </is>
      </c>
      <c r="D164" s="79" t="n">
        <v>3</v>
      </c>
      <c r="E164" s="32" t="n">
        <v>523.72</v>
      </c>
      <c r="F164" s="32">
        <f>E164*D164</f>
        <v/>
      </c>
      <c r="G164" s="4" t="inlineStr">
        <is>
          <t>L</t>
        </is>
      </c>
    </row>
    <row r="165">
      <c r="A165" s="1" t="n">
        <v>150</v>
      </c>
      <c r="B165" s="80" t="inlineStr">
        <is>
          <t>Lençol isolante sem entalhes 900 x 900 mm CL4</t>
        </is>
      </c>
      <c r="C165" s="79" t="inlineStr">
        <is>
          <t>EE</t>
        </is>
      </c>
      <c r="D165" s="79" t="n">
        <v>4</v>
      </c>
      <c r="E165" s="32" t="n">
        <v>690</v>
      </c>
      <c r="F165" s="32">
        <f>E165*D165</f>
        <v/>
      </c>
      <c r="G165" s="4" t="inlineStr">
        <is>
          <t>L</t>
        </is>
      </c>
    </row>
    <row r="166">
      <c r="A166" s="1" t="n">
        <v>151</v>
      </c>
      <c r="B166" s="80" t="inlineStr">
        <is>
          <t>Suspensório para manga de borracha</t>
        </is>
      </c>
      <c r="C166" s="79" t="n"/>
      <c r="D166" s="79" t="n">
        <v>6</v>
      </c>
      <c r="E166" s="32" t="n">
        <v>54</v>
      </c>
      <c r="F166" s="32">
        <f>E166*D166</f>
        <v/>
      </c>
      <c r="G166" s="4" t="inlineStr">
        <is>
          <t>L</t>
        </is>
      </c>
    </row>
    <row r="167">
      <c r="A167" s="1" t="n">
        <v>152</v>
      </c>
      <c r="B167" s="75" t="inlineStr">
        <is>
          <t>Testador de Fase;16KV;LV; com Resistor para 34,5 Kv</t>
        </is>
      </c>
      <c r="C167" s="1" t="inlineStr">
        <is>
          <t>EE</t>
        </is>
      </c>
      <c r="D167" s="1" t="n">
        <v>1</v>
      </c>
      <c r="E167" s="32" t="n">
        <v>6842.98</v>
      </c>
      <c r="F167" s="32">
        <f>E167*D167</f>
        <v/>
      </c>
      <c r="G167" s="4" t="inlineStr">
        <is>
          <t>L</t>
        </is>
      </c>
    </row>
    <row r="168">
      <c r="A168" s="1" t="n">
        <v>153</v>
      </c>
      <c r="B168" s="75" t="inlineStr">
        <is>
          <t>Vara de manobra com encaixe universal</t>
        </is>
      </c>
      <c r="C168" s="1" t="inlineStr">
        <is>
          <t>EE</t>
        </is>
      </c>
      <c r="D168" s="1" t="n">
        <v>1</v>
      </c>
      <c r="E168" s="32" t="n">
        <v>1062.99</v>
      </c>
      <c r="F168" s="32">
        <f>E168*D168</f>
        <v/>
      </c>
      <c r="G168" s="4" t="inlineStr">
        <is>
          <t>L</t>
        </is>
      </c>
    </row>
    <row r="169">
      <c r="A169" s="1" t="n">
        <v>154</v>
      </c>
      <c r="B169" s="75" t="inlineStr">
        <is>
          <t>Vara telescópica ETS 1063</t>
        </is>
      </c>
      <c r="C169" s="1" t="inlineStr">
        <is>
          <t>EE</t>
        </is>
      </c>
      <c r="D169" s="1" t="n">
        <v>1</v>
      </c>
      <c r="E169" s="32" t="n">
        <v>1802.85</v>
      </c>
      <c r="F169" s="32">
        <f>E169*D169</f>
        <v/>
      </c>
      <c r="G169" s="4" t="inlineStr">
        <is>
          <t>L</t>
        </is>
      </c>
    </row>
    <row r="170" customFormat="1" s="62">
      <c r="A170" s="30" t="n"/>
      <c r="B170" s="78" t="n"/>
      <c r="C170" s="30" t="n"/>
      <c r="D170" s="30" t="n"/>
      <c r="E170" s="77" t="n"/>
      <c r="F170" s="70">
        <f>SUM(F136:F169)</f>
        <v/>
      </c>
      <c r="G170" s="76" t="n"/>
    </row>
    <row r="171">
      <c r="A171" s="1" t="n"/>
      <c r="B171" s="75" t="n"/>
      <c r="C171" s="1" t="n"/>
      <c r="D171" s="1" t="n"/>
      <c r="E171" s="29" t="n"/>
    </row>
    <row r="172">
      <c r="A172" s="228" t="inlineStr">
        <is>
          <t>EQUIPAMENTOS DE COMUNICAÇÃO</t>
        </is>
      </c>
      <c r="B172" s="266" t="n"/>
      <c r="C172" s="266" t="n"/>
      <c r="D172" s="266" t="n"/>
      <c r="E172" s="266" t="n"/>
      <c r="F172" s="266" t="n"/>
    </row>
    <row r="173">
      <c r="A173" s="67" t="inlineStr">
        <is>
          <t>SQ</t>
        </is>
      </c>
      <c r="B173" s="267" t="inlineStr">
        <is>
          <t>DESCRIÇÃO</t>
        </is>
      </c>
      <c r="C173" s="261" t="n"/>
      <c r="D173" s="67" t="inlineStr">
        <is>
          <t>QTD</t>
        </is>
      </c>
      <c r="E173" s="67" t="inlineStr">
        <is>
          <t>VALOR U</t>
        </is>
      </c>
      <c r="F173" s="67" t="inlineStr">
        <is>
          <t>VALOR T</t>
        </is>
      </c>
    </row>
    <row r="174" ht="48.75" customHeight="1">
      <c r="A174" s="1" t="n">
        <v>155</v>
      </c>
      <c r="B174" s="268" t="inlineStr">
        <is>
          <t xml:space="preserve">Equipamento de Comunicação de voz e dados (Tablet/Smartfone), com telefone celular integrado, com carregador veicular e demais acessórios obrigatórios (ver anexo X). </t>
        </is>
      </c>
      <c r="C174" s="261" t="n"/>
      <c r="D174" s="1" t="n">
        <v>1</v>
      </c>
      <c r="E174" s="32" t="n">
        <v>1980</v>
      </c>
      <c r="F174" s="32">
        <f>E174*D174</f>
        <v/>
      </c>
    </row>
    <row r="175" ht="32.54999923706055" customHeight="1">
      <c r="A175" s="1" t="n">
        <v>156</v>
      </c>
      <c r="B175" s="268" t="inlineStr">
        <is>
          <t>Câmera de Videomonitoramento e acessórios, conforme ANEXO XVII - VIDEOMONITORAMENTO – REQUISITOS MÍNIMOS</t>
        </is>
      </c>
      <c r="C175" s="261" t="n"/>
      <c r="D175" s="1" t="n">
        <v>2</v>
      </c>
      <c r="E175" s="32" t="n">
        <v>2628</v>
      </c>
      <c r="F175" s="32">
        <f>E175*D175</f>
        <v/>
      </c>
    </row>
    <row r="176" ht="17.54999923706055" customHeight="1">
      <c r="A176" s="74" t="n"/>
      <c r="B176" s="73" t="inlineStr">
        <is>
          <t>TOTAL</t>
        </is>
      </c>
      <c r="C176" s="73" t="n"/>
      <c r="D176" s="72" t="n"/>
      <c r="E176" s="71" t="n"/>
      <c r="F176" s="70">
        <f>SUM(F174:F175)</f>
        <v/>
      </c>
    </row>
    <row r="177" ht="15" customHeight="1">
      <c r="A177" s="269" t="n"/>
      <c r="B177" s="270" t="n"/>
      <c r="C177" s="270" t="n"/>
      <c r="D177" s="270" t="n"/>
      <c r="E177" s="271" t="n"/>
    </row>
    <row r="178">
      <c r="A178" s="226" t="inlineStr">
        <is>
          <t>VEICULOS</t>
        </is>
      </c>
      <c r="B178" s="266" t="n"/>
      <c r="C178" s="266" t="n"/>
      <c r="D178" s="266" t="n"/>
      <c r="E178" s="266" t="n"/>
      <c r="F178" s="266" t="n"/>
      <c r="G178" t="inlineStr">
        <is>
          <t>DEPRECIAÇÃO</t>
        </is>
      </c>
    </row>
    <row r="179">
      <c r="A179" s="67" t="inlineStr">
        <is>
          <t>SQ</t>
        </is>
      </c>
      <c r="B179" s="112" t="inlineStr">
        <is>
          <t>DESCRIÇÃO</t>
        </is>
      </c>
      <c r="C179" s="68" t="inlineStr">
        <is>
          <t>ENSAIO</t>
        </is>
      </c>
      <c r="D179" s="67" t="inlineStr">
        <is>
          <t>QTD</t>
        </is>
      </c>
      <c r="E179" s="67" t="inlineStr">
        <is>
          <t>VALOR U</t>
        </is>
      </c>
      <c r="F179" s="67" t="inlineStr">
        <is>
          <t>VALOR T</t>
        </is>
      </c>
      <c r="G179" s="66" t="inlineStr">
        <is>
          <t>5 anos/mensal</t>
        </is>
      </c>
    </row>
    <row r="180" ht="72.75" customHeight="1">
      <c r="A180" s="1" t="n">
        <v>157</v>
      </c>
      <c r="B180" s="31" t="inlineStr">
        <is>
          <t xml:space="preserve">Caminhão médio equipado com hidroelevador de lança isolada para 46 kV, equipado com alarme de sapata e giroflex  EE 1 (Especificação: hidroelevador com lança isolada; altura de trabalho 13 m; cesta aérea com capacidade mínima de 130 kg; controle hidráulico na cesta e na base) CUSTO MENSAL E MANUTENÇÃO POR CONTA DO LOCATÁRIO </t>
        </is>
      </c>
      <c r="C180" s="65" t="inlineStr">
        <is>
          <t>EE</t>
        </is>
      </c>
      <c r="D180" s="1" t="n">
        <v>1</v>
      </c>
      <c r="E180" s="32" t="n">
        <v>15300</v>
      </c>
      <c r="F180" s="32">
        <f>E180*D180</f>
        <v/>
      </c>
      <c r="G180" s="33">
        <f>F180/2</f>
        <v/>
      </c>
    </row>
    <row r="181" ht="41.40000152587891" customHeight="1">
      <c r="A181" s="63" t="n">
        <v>158</v>
      </c>
      <c r="B181" s="31" t="inlineStr">
        <is>
          <t>Veículo de passageiro ou de carga – menor porte (para uso na operação de chaves com Loadbuster) CUSTO MENSAL E MANUTENÇÃO POR CONTA DO LOCATÁRIO - SAVEIRO SEM ACESSÓRIOS (PORTA ESCADA E ARMÁRIO)</t>
        </is>
      </c>
      <c r="C181" s="1" t="n"/>
      <c r="D181" s="1" t="n">
        <v>1</v>
      </c>
      <c r="E181" s="64" t="n">
        <v>2570</v>
      </c>
      <c r="F181" s="64">
        <f>E181/8</f>
        <v/>
      </c>
      <c r="G181" s="33">
        <f>F181/2</f>
        <v/>
      </c>
    </row>
    <row r="182" ht="41.40000152587891" customHeight="1">
      <c r="A182" s="63" t="n">
        <v>158</v>
      </c>
      <c r="B182" s="31" t="inlineStr">
        <is>
          <t>Veículo de passageiro ou de carga – menor porte (para uso na operação de chaves com Loadbuster) CUSTO MENSAL E MANUTENÇÃO POR CONTA DO LOCATÁRIO - SAVEIRO SEM ACESSÓRIOS (PORTA ESCADA E ARMÁRIO)</t>
        </is>
      </c>
      <c r="C182" s="1" t="n"/>
      <c r="D182" s="1" t="n">
        <v>1</v>
      </c>
      <c r="E182" s="64" t="n">
        <v>2570</v>
      </c>
      <c r="F182" s="64">
        <f>E182/8</f>
        <v/>
      </c>
      <c r="G182" s="33">
        <f>F182/2</f>
        <v/>
      </c>
    </row>
    <row r="183" ht="41.40000152587891" customHeight="1">
      <c r="A183" s="63" t="n">
        <v>158</v>
      </c>
      <c r="B183" s="31" t="inlineStr">
        <is>
          <t>Veículo de passageiro ou de carga – menor porte (para uso na operação de chaves com Loadbuster) CUSTO MENSAL E MANUTENÇÃO POR CONTA DO LOCATÁRIO - SAVEIRO SEM ACESSÓRIOS (PORTA ESCADA E ARMÁRIO)</t>
        </is>
      </c>
      <c r="C183" s="1" t="n"/>
      <c r="D183" s="1" t="n">
        <v>1</v>
      </c>
      <c r="E183" s="64" t="n">
        <v>2570</v>
      </c>
      <c r="F183" s="64">
        <f>E183/8</f>
        <v/>
      </c>
      <c r="G183" s="33">
        <f>F183/2</f>
        <v/>
      </c>
    </row>
    <row r="184">
      <c r="A184" s="63" t="n"/>
      <c r="B184" s="63" t="n"/>
      <c r="C184" s="63" t="n"/>
      <c r="D184" s="63" t="n"/>
      <c r="E184" s="63" t="n"/>
    </row>
    <row r="186">
      <c r="B186" s="62" t="inlineStr">
        <is>
          <t>LONGA DURAÇÃO TOTAL</t>
        </is>
      </c>
      <c r="C186" s="62" t="n"/>
      <c r="D186" s="62" t="n"/>
      <c r="E186" s="61">
        <f>F104+F170</f>
        <v/>
      </c>
      <c r="F186" s="61" t="n"/>
    </row>
    <row r="187">
      <c r="B187" s="60" t="inlineStr">
        <is>
          <t xml:space="preserve">CURTA DURAÇÃO TOTAL </t>
        </is>
      </c>
      <c r="C187" s="60" t="n"/>
      <c r="D187" s="60" t="n"/>
      <c r="E187" s="3">
        <f>F115+F132+F176</f>
        <v/>
      </c>
      <c r="F187" s="3" t="n"/>
    </row>
    <row r="189">
      <c r="A189" s="226" t="inlineStr">
        <is>
          <t>REMUNERAÇÃO E ENCARGOS TRABALHISTAS</t>
        </is>
      </c>
      <c r="B189" s="266" t="n"/>
      <c r="C189" s="266" t="n"/>
      <c r="D189" s="266" t="n"/>
      <c r="E189" s="266" t="n"/>
      <c r="F189" s="266" t="n"/>
    </row>
    <row r="191">
      <c r="B191" t="inlineStr">
        <is>
          <t>VALORES ATUALIZADOS DAS INFORMAÇÕES DO RODRIGO</t>
        </is>
      </c>
    </row>
    <row r="192">
      <c r="I192" s="59">
        <f>I194/(D194+E194)</f>
        <v/>
      </c>
      <c r="J192" s="59">
        <f>J194/(D194+E194)</f>
        <v/>
      </c>
      <c r="L192" s="59">
        <f>L194/(D194+E194)</f>
        <v/>
      </c>
      <c r="M192" s="59">
        <f>M194/(D194+E194)</f>
        <v/>
      </c>
      <c r="N192" s="59">
        <f>N194/(D194+E194)</f>
        <v/>
      </c>
      <c r="P192" s="59">
        <f>P194/(D194+E194)</f>
        <v/>
      </c>
    </row>
    <row r="193" ht="39.59999847412109" customHeight="1">
      <c r="B193" s="56" t="inlineStr">
        <is>
          <t>FUNÇÃO</t>
        </is>
      </c>
      <c r="C193" s="55" t="inlineStr">
        <is>
          <t>HORA 2023</t>
        </is>
      </c>
      <c r="D193" s="58" t="inlineStr">
        <is>
          <t>MENSAL</t>
        </is>
      </c>
      <c r="E193" s="55" t="inlineStr">
        <is>
          <t>MENSAL + PER</t>
        </is>
      </c>
      <c r="F193" s="56" t="inlineStr">
        <is>
          <t>FGTS</t>
        </is>
      </c>
      <c r="G193" s="56" t="inlineStr">
        <is>
          <t>INSS</t>
        </is>
      </c>
      <c r="H193" s="58" t="inlineStr">
        <is>
          <t>FÉRIAS</t>
        </is>
      </c>
      <c r="I193" s="56" t="inlineStr">
        <is>
          <t>FGTS fer</t>
        </is>
      </c>
      <c r="J193" s="56" t="inlineStr">
        <is>
          <t>INSS fer</t>
        </is>
      </c>
      <c r="K193" s="57" t="inlineStr">
        <is>
          <t>13º</t>
        </is>
      </c>
      <c r="L193" s="56" t="inlineStr">
        <is>
          <t>FGTS 13º</t>
        </is>
      </c>
      <c r="M193" s="56" t="inlineStr">
        <is>
          <t>INSS 13º</t>
        </is>
      </c>
      <c r="N193" s="55" t="inlineStr">
        <is>
          <t>MULTA FGTS</t>
        </is>
      </c>
      <c r="O193" s="54" t="inlineStr">
        <is>
          <t>Auxilio doença,nojo e gala</t>
        </is>
      </c>
      <c r="P193" s="54" t="inlineStr">
        <is>
          <t>Aviso prévio</t>
        </is>
      </c>
      <c r="Q193" s="54" t="inlineStr">
        <is>
          <t>CUSTO TOTAL MENSAL</t>
        </is>
      </c>
    </row>
    <row r="194" ht="15.60000038146973" customHeight="1">
      <c r="B194" s="48" t="inlineStr">
        <is>
          <t>Eletricista encarregado B  Linha Morta</t>
        </is>
      </c>
      <c r="C194" s="272" t="n">
        <v>16.17</v>
      </c>
      <c r="D194" s="272">
        <f>C194*220</f>
        <v/>
      </c>
      <c r="E194" s="273">
        <f>D194*30%</f>
        <v/>
      </c>
      <c r="F194" s="273">
        <f>(E194+D194)*8%</f>
        <v/>
      </c>
      <c r="G194" s="273">
        <f>28.8%*(E194+D194)</f>
        <v/>
      </c>
      <c r="H194" s="273">
        <f>H195*(E194+D194)</f>
        <v/>
      </c>
      <c r="I194" s="273">
        <f>8%*H194</f>
        <v/>
      </c>
      <c r="J194" s="273">
        <f>28.8%*H194</f>
        <v/>
      </c>
      <c r="K194" s="273">
        <f>8.34%*(E194+D194)</f>
        <v/>
      </c>
      <c r="L194" s="273">
        <f>8%*K194</f>
        <v/>
      </c>
      <c r="M194" s="273">
        <f>28.8%*K194</f>
        <v/>
      </c>
      <c r="N194" s="274">
        <f>(F194+I194+L194)*40%</f>
        <v/>
      </c>
      <c r="O194" s="274">
        <f>(D194+E194)*O195</f>
        <v/>
      </c>
      <c r="P194" s="274">
        <f>(D194+E194)/60*1.5</f>
        <v/>
      </c>
      <c r="Q194" s="274">
        <f>M194+L194+K194+J194+I194+H194+G194+F194+E194+N194+D194</f>
        <v/>
      </c>
    </row>
    <row r="195" ht="15.60000038146973" customHeight="1">
      <c r="B195" s="52" t="n"/>
      <c r="C195" s="53" t="n"/>
      <c r="D195" s="272" t="n"/>
      <c r="E195" s="51" t="n">
        <v>0.3</v>
      </c>
      <c r="F195" s="51" t="n">
        <v>0.08</v>
      </c>
      <c r="G195" s="50" t="n">
        <v>0.288</v>
      </c>
      <c r="H195" s="50" t="n">
        <v>0.1111</v>
      </c>
      <c r="I195" s="50" t="n">
        <v>0.0089</v>
      </c>
      <c r="J195" s="50" t="n">
        <v>0.032</v>
      </c>
      <c r="K195" s="50" t="n">
        <v>0.0834</v>
      </c>
      <c r="L195" s="50" t="n">
        <v>0.0067</v>
      </c>
      <c r="M195" s="50" t="n">
        <v>0.024</v>
      </c>
      <c r="N195" s="49">
        <f>N192</f>
        <v/>
      </c>
      <c r="O195" s="49" t="n">
        <v>0.0028</v>
      </c>
      <c r="P195" s="49">
        <f>P192</f>
        <v/>
      </c>
      <c r="Q195" s="274" t="n"/>
      <c r="R195" s="2">
        <f>SUM(F195:P195)</f>
        <v/>
      </c>
    </row>
    <row r="196" ht="15.60000038146973" customHeight="1">
      <c r="B196" s="52" t="inlineStr">
        <is>
          <t>Técnico em Eletrotécnica</t>
        </is>
      </c>
      <c r="C196" s="272" t="n">
        <v>12.34</v>
      </c>
      <c r="D196" s="272">
        <f>C196*220</f>
        <v/>
      </c>
      <c r="E196" s="51" t="n"/>
      <c r="F196" s="51" t="n"/>
      <c r="G196" s="50" t="n"/>
      <c r="H196" s="50" t="n"/>
      <c r="I196" s="50" t="n"/>
      <c r="J196" s="50" t="n"/>
      <c r="K196" s="50" t="n"/>
      <c r="L196" s="50" t="n"/>
      <c r="M196" s="50" t="n"/>
      <c r="N196" s="49" t="n"/>
      <c r="O196" s="49" t="n"/>
      <c r="P196" s="49" t="n"/>
      <c r="Q196" s="274" t="n"/>
      <c r="R196" s="2" t="n"/>
    </row>
    <row r="197" ht="15.60000038146973" customHeight="1">
      <c r="B197" s="52" t="inlineStr">
        <is>
          <t>Técnico de Segurança</t>
        </is>
      </c>
      <c r="C197" s="272" t="n">
        <v>12.34</v>
      </c>
      <c r="D197" s="272">
        <f>C197*220</f>
        <v/>
      </c>
      <c r="E197" s="51" t="n"/>
      <c r="F197" s="51" t="n"/>
      <c r="G197" s="50" t="n"/>
      <c r="H197" s="50" t="n"/>
      <c r="I197" s="50" t="n"/>
      <c r="J197" s="50" t="n"/>
      <c r="K197" s="50" t="n"/>
      <c r="L197" s="50" t="n"/>
      <c r="M197" s="50" t="n"/>
      <c r="N197" s="49" t="n"/>
      <c r="O197" s="49" t="n"/>
      <c r="P197" s="49" t="n"/>
      <c r="Q197" s="274" t="n"/>
      <c r="R197" s="2" t="n"/>
    </row>
    <row r="198" ht="15.60000038146973" customHeight="1">
      <c r="B198" s="52" t="inlineStr">
        <is>
          <t>Auxiliar Técnico</t>
        </is>
      </c>
      <c r="C198" s="272" t="n">
        <v>9.039999999999999</v>
      </c>
      <c r="D198" s="272">
        <f>C198*220</f>
        <v/>
      </c>
      <c r="E198" s="51" t="n"/>
      <c r="F198" s="51" t="n"/>
      <c r="G198" s="50" t="n"/>
      <c r="H198" s="50" t="n"/>
      <c r="I198" s="50" t="n"/>
      <c r="J198" s="50" t="n"/>
      <c r="K198" s="50" t="n"/>
      <c r="L198" s="50" t="n"/>
      <c r="M198" s="50" t="n"/>
      <c r="N198" s="49" t="n"/>
      <c r="O198" s="49" t="n"/>
      <c r="P198" s="49" t="n"/>
      <c r="Q198" s="274" t="n"/>
      <c r="R198" s="2" t="n"/>
    </row>
    <row r="199" ht="15.60000038146973" customHeight="1">
      <c r="B199" s="48" t="inlineStr">
        <is>
          <t>Eletricista oficial B de Linha Morta</t>
        </is>
      </c>
      <c r="C199" s="47" t="n">
        <v>11.13</v>
      </c>
      <c r="D199" s="272">
        <f>C199*220</f>
        <v/>
      </c>
      <c r="E199" s="273">
        <f>D199*30%</f>
        <v/>
      </c>
      <c r="F199" s="273">
        <f>(E199+D199)*8%</f>
        <v/>
      </c>
      <c r="G199" s="273">
        <f>28.8%*(E199+D199)</f>
        <v/>
      </c>
      <c r="H199" s="273">
        <f>11.12%*(E199+D199)</f>
        <v/>
      </c>
      <c r="I199" s="273">
        <f>8%*H199</f>
        <v/>
      </c>
      <c r="J199" s="273">
        <f>28.8%*H199</f>
        <v/>
      </c>
      <c r="K199" s="273">
        <f>8.34%*(E199+D199)</f>
        <v/>
      </c>
      <c r="L199" s="273">
        <f>8%*K199</f>
        <v/>
      </c>
      <c r="M199" s="273">
        <f>28.8%*K199</f>
        <v/>
      </c>
      <c r="N199" s="274">
        <f>L199+J199+G199*40%</f>
        <v/>
      </c>
      <c r="O199" s="274" t="n"/>
      <c r="P199" s="274" t="n"/>
      <c r="Q199" s="274">
        <f>M199+L199+K199+J199+I199+H199+G199+F199+E199+N199+D199</f>
        <v/>
      </c>
    </row>
    <row r="200" ht="15.60000038146973" customHeight="1">
      <c r="B200" s="48" t="inlineStr">
        <is>
          <t>Eletricista Meio Oficial</t>
        </is>
      </c>
      <c r="C200" s="47" t="n">
        <v>7.98</v>
      </c>
      <c r="D200" s="272">
        <f>C200*220</f>
        <v/>
      </c>
      <c r="E200" s="273" t="n"/>
      <c r="F200" s="273" t="n"/>
      <c r="G200" s="273" t="n"/>
      <c r="H200" s="273" t="n"/>
      <c r="I200" s="273" t="n"/>
      <c r="J200" s="273" t="n"/>
      <c r="K200" s="273" t="n"/>
      <c r="L200" s="273" t="n"/>
      <c r="M200" s="273" t="n"/>
      <c r="N200" s="274" t="n"/>
      <c r="O200" s="274" t="n"/>
      <c r="P200" s="274" t="n"/>
      <c r="Q200" s="274" t="n"/>
    </row>
    <row r="201" ht="15.60000038146973" customHeight="1">
      <c r="B201" s="48" t="inlineStr">
        <is>
          <t>Motorista (operador de guindauto)</t>
        </is>
      </c>
      <c r="C201" s="47" t="n">
        <v>11.13</v>
      </c>
      <c r="D201" s="272">
        <f>C201*220</f>
        <v/>
      </c>
      <c r="E201" s="273" t="n"/>
      <c r="F201" s="273" t="n"/>
      <c r="G201" s="273" t="n"/>
      <c r="H201" s="273" t="n"/>
      <c r="I201" s="273" t="n"/>
      <c r="J201" s="273" t="n"/>
      <c r="K201" s="273" t="n"/>
      <c r="L201" s="273" t="n"/>
      <c r="M201" s="273" t="n"/>
      <c r="N201" s="274" t="n"/>
      <c r="O201" s="274" t="n"/>
      <c r="P201" s="274" t="n"/>
      <c r="Q201" s="274" t="n"/>
    </row>
    <row r="202" ht="15.60000038146973" customHeight="1">
      <c r="B202" s="48" t="inlineStr">
        <is>
          <t>Ajudante</t>
        </is>
      </c>
      <c r="C202" s="47" t="n">
        <v>7.25</v>
      </c>
      <c r="D202" s="272">
        <f>C202*220</f>
        <v/>
      </c>
      <c r="E202" s="273" t="n"/>
      <c r="F202" s="275" t="n"/>
      <c r="G202" s="273" t="n"/>
      <c r="H202" s="273" t="n"/>
      <c r="I202" s="273" t="n"/>
      <c r="J202" s="273" t="n"/>
      <c r="K202" s="273" t="n"/>
      <c r="L202" s="273" t="n"/>
      <c r="M202" s="273" t="n"/>
      <c r="N202" s="274" t="n"/>
      <c r="O202" s="274" t="n"/>
      <c r="P202" s="274" t="n"/>
      <c r="Q202" s="274" t="n"/>
    </row>
    <row r="203">
      <c r="B203" s="37" t="n"/>
      <c r="C203" s="37" t="n"/>
      <c r="D203" s="37" t="n"/>
      <c r="E203" s="37" t="n"/>
      <c r="F203" s="276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273" t="n"/>
      <c r="P203" s="273" t="n"/>
    </row>
    <row r="204" ht="15" customHeight="1">
      <c r="B204" s="220" t="inlineStr">
        <is>
          <t>Vale Compras Mensal</t>
        </is>
      </c>
      <c r="C204" s="261" t="n"/>
      <c r="D204" s="38" t="n">
        <v>760</v>
      </c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</row>
    <row r="205" ht="15" customHeight="1">
      <c r="B205" s="220" t="inlineStr">
        <is>
          <t>Vale Compras Férias</t>
        </is>
      </c>
      <c r="C205" s="261" t="n"/>
      <c r="D205" s="38">
        <f>D204/12</f>
        <v/>
      </c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</row>
    <row r="206" ht="15" customHeight="1">
      <c r="B206" s="220" t="inlineStr">
        <is>
          <t>Vale compras 13º</t>
        </is>
      </c>
      <c r="C206" s="261" t="n"/>
      <c r="D206" s="38">
        <f>D204/12</f>
        <v/>
      </c>
      <c r="E206" s="41">
        <f>SUM(D204:D206)</f>
        <v/>
      </c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</row>
    <row r="207">
      <c r="B207" s="37" t="n"/>
      <c r="C207" s="40" t="inlineStr">
        <is>
          <t>DIA</t>
        </is>
      </c>
      <c r="D207" s="39" t="inlineStr">
        <is>
          <t>MÊS</t>
        </is>
      </c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</row>
    <row r="208">
      <c r="B208" s="39" t="inlineStr">
        <is>
          <t>Vale Refeição</t>
        </is>
      </c>
      <c r="C208" s="38" t="n">
        <v>27.3</v>
      </c>
      <c r="D208" s="38">
        <f>C208*24</f>
        <v/>
      </c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</row>
  </sheetData>
  <mergeCells count="15">
    <mergeCell ref="A172:F172"/>
    <mergeCell ref="A2:F2"/>
    <mergeCell ref="B205:C205"/>
    <mergeCell ref="A1:F1"/>
    <mergeCell ref="A117:F117"/>
    <mergeCell ref="B204:C204"/>
    <mergeCell ref="A178:F178"/>
    <mergeCell ref="A106:F106"/>
    <mergeCell ref="A189:F189"/>
    <mergeCell ref="B174:C174"/>
    <mergeCell ref="A177:E177"/>
    <mergeCell ref="B173:C173"/>
    <mergeCell ref="B206:C206"/>
    <mergeCell ref="A134:F134"/>
    <mergeCell ref="B175:C175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3.80000019073486"/>
  <cols>
    <col width="8.88671875" customWidth="1" style="7" min="1" max="1"/>
    <col width="12.21875" customWidth="1" style="7" min="2" max="2"/>
    <col width="77.77734375" customWidth="1" style="7" min="3" max="3"/>
    <col width="22.21875" customWidth="1" style="7" min="4" max="4"/>
    <col width="13.33203125" customWidth="1" style="7" min="5" max="5"/>
    <col width="8.88671875" customWidth="1" style="7" min="6" max="7"/>
    <col width="15.5546875" customWidth="1" style="7" min="8" max="9"/>
    <col width="8.88671875" customWidth="1" style="7" min="10" max="16384"/>
  </cols>
  <sheetData>
    <row r="1" ht="22.35000038146973" customHeight="1">
      <c r="A1" s="5" t="inlineStr">
        <is>
          <t>Item</t>
        </is>
      </c>
      <c r="B1" s="6" t="inlineStr">
        <is>
          <t>Número</t>
        </is>
      </c>
      <c r="C1" s="6" t="inlineStr">
        <is>
          <t>Descrição das mercadorias</t>
        </is>
      </c>
      <c r="D1" s="6" t="inlineStr">
        <is>
          <t>Ref. Fab.</t>
        </is>
      </c>
      <c r="E1" s="6" t="inlineStr">
        <is>
          <t>NCM</t>
        </is>
      </c>
      <c r="F1" s="6" t="inlineStr">
        <is>
          <t>Un</t>
        </is>
      </c>
      <c r="G1" s="6" t="inlineStr">
        <is>
          <t>Qtde</t>
        </is>
      </c>
      <c r="H1" s="6" t="inlineStr">
        <is>
          <t>R$ Unit.</t>
        </is>
      </c>
      <c r="I1" s="6" t="inlineStr">
        <is>
          <t>R$ Total</t>
        </is>
      </c>
    </row>
    <row r="2" ht="12" customHeight="1">
      <c r="A2" s="8" t="n">
        <v>1</v>
      </c>
      <c r="B2" s="9" t="inlineStr">
        <is>
          <t>21892</t>
        </is>
      </c>
      <c r="C2" s="10" t="inlineStr">
        <is>
          <t>Alicate compressão hidráulica 12Ton com estojo sem matrizes e 32mm abertura cabeçote</t>
        </is>
      </c>
      <c r="D2" s="11" t="inlineStr">
        <is>
          <t>SE 17186</t>
        </is>
      </c>
      <c r="E2" s="9" t="inlineStr">
        <is>
          <t>82032010</t>
        </is>
      </c>
      <c r="F2" s="9" t="inlineStr">
        <is>
          <t>PC</t>
        </is>
      </c>
      <c r="G2" s="12" t="n">
        <v>1</v>
      </c>
      <c r="H2" s="13" t="n">
        <v>4990</v>
      </c>
      <c r="I2" s="14" t="n">
        <v>4990</v>
      </c>
    </row>
    <row r="3" ht="12" customHeight="1">
      <c r="A3" s="15" t="n">
        <v>2</v>
      </c>
      <c r="B3" s="16" t="inlineStr">
        <is>
          <t>20011</t>
        </is>
      </c>
      <c r="C3" s="17" t="inlineStr">
        <is>
          <t>Alicate comp. mecanica 4Ton. sem estojo com matrizes fixa D3 e BG sem matrizes avulsas</t>
        </is>
      </c>
      <c r="D3" s="18" t="inlineStr">
        <is>
          <t>CH 6</t>
        </is>
      </c>
      <c r="E3" s="16" t="inlineStr">
        <is>
          <t>84626100</t>
        </is>
      </c>
      <c r="F3" s="16" t="inlineStr">
        <is>
          <t>PC</t>
        </is>
      </c>
      <c r="G3" s="19" t="n">
        <v>1</v>
      </c>
      <c r="H3" s="20" t="n">
        <v>1250</v>
      </c>
      <c r="I3" s="21" t="n">
        <v>1250</v>
      </c>
    </row>
    <row r="4" ht="12" customHeight="1">
      <c r="A4" s="15" t="n">
        <v>3</v>
      </c>
      <c r="B4" s="16" t="inlineStr">
        <is>
          <t>20098</t>
        </is>
      </c>
      <c r="C4" s="17" t="inlineStr">
        <is>
          <t>Alicate bomba d'água 12'' Isolado 1000V - Tramontina Pro - Promo</t>
        </is>
      </c>
      <c r="D4" s="18" t="inlineStr">
        <is>
          <t>44039/112</t>
        </is>
      </c>
      <c r="E4" s="16" t="inlineStr">
        <is>
          <t>82032010</t>
        </is>
      </c>
      <c r="F4" s="16" t="inlineStr">
        <is>
          <t>PC</t>
        </is>
      </c>
      <c r="G4" s="19" t="n">
        <v>1</v>
      </c>
      <c r="H4" s="20" t="n">
        <v>138</v>
      </c>
      <c r="I4" s="21" t="n">
        <v>138</v>
      </c>
    </row>
    <row r="5" ht="19.5" customHeight="1">
      <c r="A5" s="15" t="n">
        <v>4</v>
      </c>
      <c r="B5" s="16" t="inlineStr">
        <is>
          <t>22594</t>
        </is>
      </c>
      <c r="C5" s="17" t="inlineStr">
        <is>
          <t>Alicate de corte para cabo de alum./cobre sem alma de aço até 48mm de diâmetro( 400mm2 )</t>
        </is>
      </c>
      <c r="D5" s="18" t="inlineStr">
        <is>
          <t>FVR 31874-1</t>
        </is>
      </c>
      <c r="E5" s="16" t="inlineStr">
        <is>
          <t>82032010</t>
        </is>
      </c>
      <c r="F5" s="16" t="inlineStr">
        <is>
          <t>PC</t>
        </is>
      </c>
      <c r="G5" s="19" t="n">
        <v>1</v>
      </c>
      <c r="H5" s="20" t="n">
        <v>1190</v>
      </c>
      <c r="I5" s="21" t="n">
        <v>1190</v>
      </c>
    </row>
    <row r="6" ht="12" customHeight="1">
      <c r="A6" s="15" t="n">
        <v>5</v>
      </c>
      <c r="B6" s="16" t="inlineStr">
        <is>
          <t>21950</t>
        </is>
      </c>
      <c r="C6" s="17" t="inlineStr">
        <is>
          <t>Alicate tipo universal ( cabo laranja ) 8" isolação 1000V - Sata</t>
        </is>
      </c>
      <c r="D6" s="18" t="inlineStr">
        <is>
          <t>ST700022L</t>
        </is>
      </c>
      <c r="E6" s="16" t="inlineStr">
        <is>
          <t>82032010</t>
        </is>
      </c>
      <c r="F6" s="16" t="inlineStr">
        <is>
          <t>PC</t>
        </is>
      </c>
      <c r="G6" s="19" t="n">
        <v>3</v>
      </c>
      <c r="H6" s="20" t="n">
        <v>46</v>
      </c>
      <c r="I6" s="21" t="n">
        <v>138</v>
      </c>
    </row>
    <row r="7" ht="12" customHeight="1">
      <c r="A7" s="15" t="n">
        <v>6</v>
      </c>
      <c r="B7" s="16" t="inlineStr">
        <is>
          <t>22125</t>
        </is>
      </c>
      <c r="C7" s="17" t="inlineStr">
        <is>
          <t>Arco de serra regulável 12" - Starfer</t>
        </is>
      </c>
      <c r="D7" s="18" t="inlineStr">
        <is>
          <t>1415808</t>
        </is>
      </c>
      <c r="E7" s="16" t="inlineStr">
        <is>
          <t>82021000</t>
        </is>
      </c>
      <c r="F7" s="16" t="inlineStr">
        <is>
          <t>PC</t>
        </is>
      </c>
      <c r="G7" s="19" t="n">
        <v>1</v>
      </c>
      <c r="H7" s="20" t="n">
        <v>25</v>
      </c>
      <c r="I7" s="21" t="n">
        <v>25</v>
      </c>
    </row>
    <row r="8" ht="12" customHeight="1">
      <c r="A8" s="15" t="n">
        <v>7</v>
      </c>
      <c r="B8" s="16" t="inlineStr">
        <is>
          <t>19111</t>
        </is>
      </c>
      <c r="C8" s="17" t="inlineStr">
        <is>
          <t>Balde 30cmx35cm fundo sintético com alça de fita -</t>
        </is>
      </c>
      <c r="D8" s="18" t="inlineStr">
        <is>
          <t>em lona verde                                                               120.152.0001</t>
        </is>
      </c>
      <c r="E8" s="16" t="inlineStr">
        <is>
          <t>63079090</t>
        </is>
      </c>
      <c r="F8" s="16" t="inlineStr">
        <is>
          <t>PC</t>
        </is>
      </c>
      <c r="G8" s="19" t="n">
        <v>2</v>
      </c>
      <c r="H8" s="20" t="n">
        <v>46</v>
      </c>
      <c r="I8" s="21" t="n">
        <v>92</v>
      </c>
    </row>
    <row r="9" ht="12" customHeight="1">
      <c r="A9" s="15" t="n">
        <v>8</v>
      </c>
      <c r="B9" s="16" t="inlineStr">
        <is>
          <t>19092</t>
        </is>
      </c>
      <c r="C9" s="17" t="inlineStr">
        <is>
          <t>Bandeirola de nylon KP cor laranja 30x40cm com ilhoses e bastão</t>
        </is>
      </c>
      <c r="D9" s="18" t="inlineStr">
        <is>
          <t>RB 6708</t>
        </is>
      </c>
      <c r="E9" s="16" t="inlineStr">
        <is>
          <t>63079090</t>
        </is>
      </c>
      <c r="F9" s="16" t="inlineStr">
        <is>
          <t>PC</t>
        </is>
      </c>
      <c r="G9" s="19" t="n">
        <v>1</v>
      </c>
      <c r="H9" s="20" t="n">
        <v>23.5</v>
      </c>
      <c r="I9" s="21" t="n">
        <v>23.5</v>
      </c>
    </row>
    <row r="10" ht="12" customHeight="1">
      <c r="A10" s="15" t="n">
        <v>9</v>
      </c>
      <c r="B10" s="16" t="inlineStr">
        <is>
          <t>20840</t>
        </is>
      </c>
      <c r="C10" s="17" t="inlineStr">
        <is>
          <t>Bastão de tração com espiral 32mmx0,70m com 0,29m isolante para LV</t>
        </is>
      </c>
      <c r="D10" s="18" t="inlineStr">
        <is>
          <t>TM 03130102</t>
        </is>
      </c>
      <c r="E10" s="16" t="inlineStr">
        <is>
          <t>84798999</t>
        </is>
      </c>
      <c r="F10" s="16" t="inlineStr">
        <is>
          <t>PC</t>
        </is>
      </c>
      <c r="G10" s="19" t="n">
        <v>3</v>
      </c>
      <c r="H10" s="20" t="n">
        <v>890</v>
      </c>
      <c r="I10" s="21" t="n">
        <v>2670</v>
      </c>
    </row>
    <row r="11" ht="12" customHeight="1">
      <c r="A11" s="15" t="n">
        <v>10</v>
      </c>
      <c r="B11" s="16" t="inlineStr">
        <is>
          <t>21789</t>
        </is>
      </c>
      <c r="C11" s="17" t="inlineStr">
        <is>
          <t>Bastão garra 38mmx3,40m com 2,96m isolante para LV</t>
        </is>
      </c>
      <c r="D11" s="18" t="inlineStr">
        <is>
          <t>140.633.0003</t>
        </is>
      </c>
      <c r="E11" s="16" t="inlineStr">
        <is>
          <t>85479000</t>
        </is>
      </c>
      <c r="F11" s="16" t="inlineStr">
        <is>
          <t>PC</t>
        </is>
      </c>
      <c r="G11" s="19" t="n">
        <v>1</v>
      </c>
      <c r="H11" s="20" t="n">
        <v>1790</v>
      </c>
      <c r="I11" s="21" t="n">
        <v>1790</v>
      </c>
    </row>
    <row r="12" ht="12" customHeight="1">
      <c r="A12" s="15" t="n">
        <v>11</v>
      </c>
      <c r="B12" s="16" t="inlineStr">
        <is>
          <t>21790</t>
        </is>
      </c>
      <c r="C12" s="17" t="inlineStr">
        <is>
          <t>Bastão garra 64mmx3,95m com 3,51m isolante para LV</t>
        </is>
      </c>
      <c r="D12" s="18" t="inlineStr">
        <is>
          <t>140.633.0010</t>
        </is>
      </c>
      <c r="E12" s="16" t="inlineStr">
        <is>
          <t>85479000</t>
        </is>
      </c>
      <c r="F12" s="16" t="inlineStr">
        <is>
          <t>PC</t>
        </is>
      </c>
      <c r="G12" s="19" t="n">
        <v>1</v>
      </c>
      <c r="H12" s="20" t="n">
        <v>2980</v>
      </c>
      <c r="I12" s="21" t="n">
        <v>2980</v>
      </c>
    </row>
    <row r="13" ht="12" customHeight="1">
      <c r="A13" s="15" t="n">
        <v>12</v>
      </c>
      <c r="B13" s="16" t="inlineStr">
        <is>
          <t>21792</t>
        </is>
      </c>
      <c r="C13" s="17" t="inlineStr">
        <is>
          <t>Bastão universal 2 cabeçotes 32mm x 2,20m para LV</t>
        </is>
      </c>
      <c r="D13" s="18" t="inlineStr">
        <is>
          <t>140.867.0001</t>
        </is>
      </c>
      <c r="E13" s="16" t="inlineStr">
        <is>
          <t>85479000</t>
        </is>
      </c>
      <c r="F13" s="16" t="inlineStr">
        <is>
          <t>PC</t>
        </is>
      </c>
      <c r="G13" s="19" t="n">
        <v>1</v>
      </c>
      <c r="H13" s="20" t="n">
        <v>510</v>
      </c>
      <c r="I13" s="21" t="n">
        <v>510</v>
      </c>
    </row>
    <row r="14" ht="12" customHeight="1">
      <c r="A14" s="15" t="n">
        <v>13</v>
      </c>
      <c r="B14" s="16" t="inlineStr">
        <is>
          <t>10014</t>
        </is>
      </c>
      <c r="C14" s="17" t="inlineStr">
        <is>
          <t>Bolsa para luvas isolantes tipo dupla 48cmx20cmx16cm - em lona verde</t>
        </is>
      </c>
      <c r="D14" s="18" t="inlineStr">
        <is>
          <t>120.164.D000</t>
        </is>
      </c>
      <c r="E14" s="16" t="inlineStr">
        <is>
          <t>63079090</t>
        </is>
      </c>
      <c r="F14" s="16" t="inlineStr">
        <is>
          <t>PC</t>
        </is>
      </c>
      <c r="G14" s="19" t="n">
        <v>6</v>
      </c>
      <c r="H14" s="20" t="n">
        <v>40</v>
      </c>
      <c r="I14" s="21" t="n">
        <v>240</v>
      </c>
    </row>
    <row r="15" ht="12" customHeight="1">
      <c r="A15" s="15" t="n">
        <v>14</v>
      </c>
      <c r="B15" s="16" t="inlineStr">
        <is>
          <t>19307</t>
        </is>
      </c>
      <c r="C15" s="17" t="inlineStr">
        <is>
          <t>Botão manga isolante</t>
        </is>
      </c>
      <c r="D15" s="18" t="n"/>
      <c r="E15" s="16" t="inlineStr">
        <is>
          <t>40159000</t>
        </is>
      </c>
      <c r="F15" s="16" t="inlineStr">
        <is>
          <t>PC</t>
        </is>
      </c>
      <c r="G15" s="19" t="n">
        <v>9</v>
      </c>
      <c r="H15" s="20" t="n">
        <v>12</v>
      </c>
      <c r="I15" s="21" t="n">
        <v>108</v>
      </c>
    </row>
    <row r="16" ht="12" customHeight="1">
      <c r="A16" s="15" t="n">
        <v>15</v>
      </c>
      <c r="B16" s="16" t="inlineStr">
        <is>
          <t>16527</t>
        </is>
      </c>
      <c r="C16" s="17" t="inlineStr">
        <is>
          <t>Cabeçote para operação de chaves tipo desconector</t>
        </is>
      </c>
      <c r="D16" s="18" t="inlineStr">
        <is>
          <t>SE 3180</t>
        </is>
      </c>
      <c r="E16" s="16" t="inlineStr">
        <is>
          <t>85352900</t>
        </is>
      </c>
      <c r="F16" s="16" t="inlineStr">
        <is>
          <t>PC</t>
        </is>
      </c>
      <c r="G16" s="19" t="n">
        <v>1</v>
      </c>
      <c r="H16" s="20" t="n">
        <v>51</v>
      </c>
      <c r="I16" s="21" t="n">
        <v>51</v>
      </c>
    </row>
    <row r="17" ht="19.5" customHeight="1">
      <c r="A17" s="15" t="n">
        <v>16</v>
      </c>
      <c r="B17" s="16" t="inlineStr">
        <is>
          <t>20292</t>
        </is>
      </c>
      <c r="C17" s="17" t="inlineStr">
        <is>
          <t>Cabeçote olhal ( grande ) para conexão do bastão mastro com olhal ou garra ou içador p/ LV</t>
        </is>
      </c>
      <c r="D17" s="18" t="inlineStr">
        <is>
          <t>FLV00714-2</t>
        </is>
      </c>
      <c r="E17" s="16" t="inlineStr">
        <is>
          <t>76169900</t>
        </is>
      </c>
      <c r="F17" s="16" t="inlineStr">
        <is>
          <t>PC</t>
        </is>
      </c>
      <c r="G17" s="19" t="n">
        <v>1</v>
      </c>
      <c r="H17" s="20" t="n">
        <v>990</v>
      </c>
      <c r="I17" s="21" t="n">
        <v>990</v>
      </c>
    </row>
    <row r="18" ht="12" customHeight="1">
      <c r="A18" s="15" t="n">
        <v>17</v>
      </c>
      <c r="B18" s="16" t="inlineStr">
        <is>
          <t>11471</t>
        </is>
      </c>
      <c r="C18" s="17" t="inlineStr">
        <is>
          <t>Cabo de cobre flexível 2AWG ( 200A ) protegido cor laranja 15KV para LV</t>
        </is>
      </c>
      <c r="D18" s="18" t="inlineStr">
        <is>
          <t>R3641</t>
        </is>
      </c>
      <c r="E18" s="16" t="inlineStr">
        <is>
          <t>85446000</t>
        </is>
      </c>
      <c r="F18" s="16" t="inlineStr">
        <is>
          <t>MT</t>
        </is>
      </c>
      <c r="G18" s="19" t="n">
        <v>21</v>
      </c>
      <c r="H18" s="20" t="n">
        <v>220</v>
      </c>
      <c r="I18" s="21" t="n">
        <v>4620</v>
      </c>
    </row>
    <row r="19" ht="12" customHeight="1">
      <c r="A19" s="15" t="n">
        <v>18</v>
      </c>
      <c r="B19" s="16" t="inlineStr">
        <is>
          <t>10395</t>
        </is>
      </c>
      <c r="C19" s="17" t="inlineStr">
        <is>
          <t>Cabo de cobre flexível 2/0 ( 300A ) protegido cor laranja 15KV para LV</t>
        </is>
      </c>
      <c r="D19" s="18" t="inlineStr">
        <is>
          <t>R3863</t>
        </is>
      </c>
      <c r="E19" s="16" t="inlineStr">
        <is>
          <t>85446000</t>
        </is>
      </c>
      <c r="F19" s="16" t="inlineStr">
        <is>
          <t>MT</t>
        </is>
      </c>
      <c r="G19" s="19" t="n">
        <v>15</v>
      </c>
      <c r="H19" s="20" t="n">
        <v>317</v>
      </c>
      <c r="I19" s="21" t="n">
        <v>4755</v>
      </c>
    </row>
    <row r="20" ht="12" customHeight="1">
      <c r="A20" s="15" t="n">
        <v>19</v>
      </c>
      <c r="B20" s="16" t="inlineStr">
        <is>
          <t>17801</t>
        </is>
      </c>
      <c r="C20" s="17" t="inlineStr">
        <is>
          <t>Cabo de cobre flexível 2/0 ( 300A ) protegido cor laranja 35KV para LV</t>
        </is>
      </c>
      <c r="D20" s="18" t="inlineStr">
        <is>
          <t>FLV 30182-2</t>
        </is>
      </c>
      <c r="E20" s="16" t="inlineStr">
        <is>
          <t>85446000</t>
        </is>
      </c>
      <c r="F20" s="16" t="inlineStr">
        <is>
          <t>MT</t>
        </is>
      </c>
      <c r="G20" s="19" t="n">
        <v>21</v>
      </c>
      <c r="H20" s="20" t="n">
        <v>680</v>
      </c>
      <c r="I20" s="21" t="n">
        <v>14280</v>
      </c>
    </row>
    <row r="21" ht="12" customHeight="1">
      <c r="A21" s="15" t="n">
        <v>20</v>
      </c>
      <c r="B21" s="16" t="inlineStr">
        <is>
          <t>19316</t>
        </is>
      </c>
      <c r="C21" s="17" t="inlineStr">
        <is>
          <t>Kit protetor facial p/arco elétrico ATPV 18,4cal/cm2 com capacete cor branco - CA 46765</t>
        </is>
      </c>
      <c r="D21" s="18" t="inlineStr">
        <is>
          <t>158 ARC</t>
        </is>
      </c>
      <c r="E21" s="16" t="inlineStr">
        <is>
          <t>65061090</t>
        </is>
      </c>
      <c r="F21" s="16" t="inlineStr">
        <is>
          <t>PC</t>
        </is>
      </c>
      <c r="G21" s="19" t="n">
        <v>1</v>
      </c>
      <c r="H21" s="20" t="n">
        <v>750</v>
      </c>
      <c r="I21" s="21" t="n">
        <v>750</v>
      </c>
    </row>
    <row r="22" ht="12" customHeight="1">
      <c r="A22" s="15" t="n">
        <v>21</v>
      </c>
      <c r="B22" s="16" t="inlineStr">
        <is>
          <t>12520</t>
        </is>
      </c>
      <c r="C22" s="17" t="inlineStr">
        <is>
          <t>Bolsa para protetor facial e lanterna para cabeça 42cmx30cmx22cm - em lona verde</t>
        </is>
      </c>
      <c r="D22" s="18" t="inlineStr">
        <is>
          <t>120.137.A000</t>
        </is>
      </c>
      <c r="E22" s="16" t="inlineStr">
        <is>
          <t>63079090</t>
        </is>
      </c>
      <c r="F22" s="16" t="inlineStr">
        <is>
          <t>PC</t>
        </is>
      </c>
      <c r="G22" s="19" t="n">
        <v>1</v>
      </c>
      <c r="H22" s="20" t="n">
        <v>72</v>
      </c>
      <c r="I22" s="21" t="n">
        <v>72</v>
      </c>
    </row>
    <row r="23" ht="12" customHeight="1">
      <c r="A23" s="15" t="n">
        <v>22</v>
      </c>
      <c r="B23" s="16" t="inlineStr">
        <is>
          <t>20509</t>
        </is>
      </c>
      <c r="C23" s="17" t="inlineStr">
        <is>
          <t>Canivete tipo eletricista em aço inox 3" sem estojo</t>
        </is>
      </c>
      <c r="D23" s="18" t="inlineStr">
        <is>
          <t>26301/003</t>
        </is>
      </c>
      <c r="E23" s="16" t="inlineStr">
        <is>
          <t>82119320</t>
        </is>
      </c>
      <c r="F23" s="16" t="inlineStr">
        <is>
          <t>PC</t>
        </is>
      </c>
      <c r="G23" s="19" t="n">
        <v>3</v>
      </c>
      <c r="H23" s="20" t="n">
        <v>33</v>
      </c>
      <c r="I23" s="21" t="n">
        <v>99</v>
      </c>
    </row>
    <row r="24" ht="12" customHeight="1">
      <c r="A24" s="15" t="n">
        <v>23</v>
      </c>
      <c r="B24" s="16" t="inlineStr">
        <is>
          <t>22009</t>
        </is>
      </c>
      <c r="C24" s="17" t="inlineStr">
        <is>
          <t>Carretilha em aluminio p/ içar ferramentas com trava</t>
        </is>
      </c>
      <c r="D24" s="18" t="inlineStr">
        <is>
          <t>TOP - 044 / 232</t>
        </is>
      </c>
      <c r="E24" s="16" t="inlineStr">
        <is>
          <t>84251910</t>
        </is>
      </c>
      <c r="F24" s="16" t="inlineStr">
        <is>
          <t>PC</t>
        </is>
      </c>
      <c r="G24" s="19" t="n">
        <v>2</v>
      </c>
      <c r="H24" s="20" t="n">
        <v>118</v>
      </c>
      <c r="I24" s="21" t="n">
        <v>236</v>
      </c>
    </row>
    <row r="25" ht="12" customHeight="1">
      <c r="A25" s="15" t="n">
        <v>24</v>
      </c>
      <c r="B25" s="16" t="inlineStr">
        <is>
          <t>22081</t>
        </is>
      </c>
      <c r="C25" s="17" t="inlineStr">
        <is>
          <t>Chave catraca estrela isolado 1000V 17mm - com teste atual</t>
        </is>
      </c>
      <c r="D25" s="18" t="inlineStr">
        <is>
          <t>ISOLADA 17</t>
        </is>
      </c>
      <c r="E25" s="16" t="inlineStr">
        <is>
          <t>85359090</t>
        </is>
      </c>
      <c r="F25" s="16" t="inlineStr">
        <is>
          <t>PC</t>
        </is>
      </c>
      <c r="G25" s="19" t="n">
        <v>2</v>
      </c>
      <c r="H25" s="20" t="n">
        <v>98</v>
      </c>
      <c r="I25" s="21" t="n">
        <v>196</v>
      </c>
    </row>
    <row r="26" ht="12" customHeight="1">
      <c r="A26" s="15" t="n">
        <v>25</v>
      </c>
      <c r="B26" s="16" t="inlineStr">
        <is>
          <t>22082</t>
        </is>
      </c>
      <c r="C26" s="17" t="inlineStr">
        <is>
          <t>Chave catraca estrela isolado 1000V 19mm - com teste atual</t>
        </is>
      </c>
      <c r="D26" s="18" t="inlineStr">
        <is>
          <t>ISOLADA 19</t>
        </is>
      </c>
      <c r="E26" s="16" t="inlineStr">
        <is>
          <t>82054000</t>
        </is>
      </c>
      <c r="F26" s="16" t="inlineStr">
        <is>
          <t>PC</t>
        </is>
      </c>
      <c r="G26" s="19" t="n">
        <v>2</v>
      </c>
      <c r="H26" s="20" t="n">
        <v>102</v>
      </c>
      <c r="I26" s="21" t="n">
        <v>204</v>
      </c>
    </row>
    <row r="27" ht="12" customHeight="1">
      <c r="A27" s="15" t="n">
        <v>26</v>
      </c>
      <c r="B27" s="16" t="inlineStr">
        <is>
          <t>20495</t>
        </is>
      </c>
      <c r="C27" s="17" t="inlineStr">
        <is>
          <t>Chave fenda cabo e haste isolada 1000V - 3/16x4 (5x100) Media - Tramontina PRO</t>
        </is>
      </c>
      <c r="D27" s="18" t="inlineStr">
        <is>
          <t>44115/021</t>
        </is>
      </c>
      <c r="E27" s="16" t="inlineStr">
        <is>
          <t>82054000</t>
        </is>
      </c>
      <c r="F27" s="16" t="inlineStr">
        <is>
          <t>PC</t>
        </is>
      </c>
      <c r="G27" s="19" t="n">
        <v>3</v>
      </c>
      <c r="H27" s="20" t="n">
        <v>13.6</v>
      </c>
      <c r="I27" s="21" t="n">
        <v>40.8</v>
      </c>
    </row>
    <row r="28" ht="12" customHeight="1">
      <c r="A28" s="15" t="n">
        <v>27</v>
      </c>
      <c r="B28" s="16" t="inlineStr">
        <is>
          <t>20486</t>
        </is>
      </c>
      <c r="C28" s="17" t="inlineStr">
        <is>
          <t>Chave fenda cabo e haste isolada 1000V - 1/4x6 (6x150) Grande - Tramontina PRO</t>
        </is>
      </c>
      <c r="D28" s="18" t="inlineStr">
        <is>
          <t>44115/032</t>
        </is>
      </c>
      <c r="E28" s="16" t="inlineStr">
        <is>
          <t>82054000</t>
        </is>
      </c>
      <c r="F28" s="16" t="inlineStr">
        <is>
          <t>PC</t>
        </is>
      </c>
      <c r="G28" s="19" t="n">
        <v>3</v>
      </c>
      <c r="H28" s="20" t="n">
        <v>21</v>
      </c>
      <c r="I28" s="21" t="n">
        <v>63</v>
      </c>
    </row>
    <row r="29" ht="12" customHeight="1">
      <c r="A29" s="15" t="n">
        <v>28</v>
      </c>
      <c r="B29" s="16" t="inlineStr">
        <is>
          <t>20496</t>
        </is>
      </c>
      <c r="C29" s="17" t="inlineStr">
        <is>
          <t>Chave fenda cabo e haste isolada 1000V - 5/16x8 (8x200) Extra Grande - Tramontina PRO</t>
        </is>
      </c>
      <c r="D29" s="18" t="inlineStr">
        <is>
          <t>44115/043</t>
        </is>
      </c>
      <c r="E29" s="16" t="inlineStr">
        <is>
          <t>82054000</t>
        </is>
      </c>
      <c r="F29" s="16" t="inlineStr">
        <is>
          <t>PC</t>
        </is>
      </c>
      <c r="G29" s="19" t="n">
        <v>3</v>
      </c>
      <c r="H29" s="20" t="n">
        <v>27.2</v>
      </c>
      <c r="I29" s="21" t="n">
        <v>81.59999999999999</v>
      </c>
    </row>
    <row r="30" ht="12" customHeight="1">
      <c r="A30" s="15" t="n">
        <v>29</v>
      </c>
      <c r="B30" s="16" t="inlineStr">
        <is>
          <t>22066</t>
        </is>
      </c>
      <c r="C30" s="17" t="inlineStr">
        <is>
          <t>Chave ajustável isolada 1000V tamanho 12" em aço CR-V com limitador e teste atual</t>
        </is>
      </c>
      <c r="D30" s="18" t="inlineStr">
        <is>
          <t>TOP 110-12</t>
        </is>
      </c>
      <c r="E30" s="16" t="inlineStr">
        <is>
          <t>82041200</t>
        </is>
      </c>
      <c r="F30" s="16" t="inlineStr">
        <is>
          <t>PC</t>
        </is>
      </c>
      <c r="G30" s="19" t="n">
        <v>2</v>
      </c>
      <c r="H30" s="20" t="n">
        <v>170</v>
      </c>
      <c r="I30" s="21" t="n">
        <v>340</v>
      </c>
    </row>
    <row r="31" ht="19.5" customHeight="1">
      <c r="A31" s="15" t="n">
        <v>30</v>
      </c>
      <c r="B31" s="16" t="inlineStr">
        <is>
          <t>21360</t>
        </is>
      </c>
      <c r="C31" s="17" t="inlineStr">
        <is>
          <t>Cinta de poliéster eslinga anel tubular capa tripla cor verde 2.000 Kg - Vertical comp. 1,40m</t>
        </is>
      </c>
      <c r="D31" s="18" t="inlineStr">
        <is>
          <t>NTC 890027</t>
        </is>
      </c>
      <c r="E31" s="16" t="inlineStr">
        <is>
          <t>63079090</t>
        </is>
      </c>
      <c r="F31" s="16" t="inlineStr">
        <is>
          <t>PC</t>
        </is>
      </c>
      <c r="G31" s="19" t="n">
        <v>1</v>
      </c>
      <c r="H31" s="20" t="n">
        <v>190</v>
      </c>
      <c r="I31" s="21" t="n">
        <v>190</v>
      </c>
    </row>
    <row r="32" ht="12" customHeight="1">
      <c r="A32" s="15" t="n">
        <v>31</v>
      </c>
      <c r="B32" s="16" t="inlineStr">
        <is>
          <t>20320</t>
        </is>
      </c>
      <c r="C32" s="17" t="inlineStr">
        <is>
          <t>Cinta para mão francesa 64mm para LV</t>
        </is>
      </c>
      <c r="D32" s="18" t="inlineStr">
        <is>
          <t>C 286</t>
        </is>
      </c>
      <c r="E32" s="16" t="inlineStr">
        <is>
          <t>76169900</t>
        </is>
      </c>
      <c r="F32" s="16" t="inlineStr">
        <is>
          <t>PC</t>
        </is>
      </c>
      <c r="G32" s="19" t="n">
        <v>1</v>
      </c>
      <c r="H32" s="20" t="n">
        <v>277</v>
      </c>
      <c r="I32" s="21" t="n">
        <v>277</v>
      </c>
    </row>
    <row r="33" ht="12" customHeight="1">
      <c r="A33" s="15" t="n">
        <v>32</v>
      </c>
      <c r="B33" s="16" t="inlineStr">
        <is>
          <t>22561</t>
        </is>
      </c>
      <c r="C33" s="17" t="inlineStr">
        <is>
          <t>Corda Torcida PP - Polipropileno 12mm branca rolo com 50mt</t>
        </is>
      </c>
      <c r="D33" s="18" t="inlineStr">
        <is>
          <t>1301-5</t>
        </is>
      </c>
      <c r="E33" s="16" t="inlineStr">
        <is>
          <t>56074900</t>
        </is>
      </c>
      <c r="F33" s="16" t="inlineStr">
        <is>
          <t>RL</t>
        </is>
      </c>
      <c r="G33" s="19" t="n">
        <v>2</v>
      </c>
      <c r="H33" s="20" t="n">
        <v>255</v>
      </c>
      <c r="I33" s="21" t="n">
        <v>510</v>
      </c>
    </row>
    <row r="34" ht="12" customHeight="1">
      <c r="A34" s="15" t="n">
        <v>33</v>
      </c>
      <c r="B34" s="16" t="inlineStr">
        <is>
          <t>22567</t>
        </is>
      </c>
      <c r="C34" s="17" t="inlineStr">
        <is>
          <t>Corda Torcida PP - Polipropileno 6mm branca</t>
        </is>
      </c>
      <c r="D34" s="18" t="inlineStr">
        <is>
          <t>360-3</t>
        </is>
      </c>
      <c r="E34" s="16" t="inlineStr">
        <is>
          <t>56074900</t>
        </is>
      </c>
      <c r="F34" s="16" t="inlineStr">
        <is>
          <t>MT</t>
        </is>
      </c>
      <c r="G34" s="19" t="n">
        <v>10</v>
      </c>
      <c r="H34" s="20" t="n">
        <v>2.2</v>
      </c>
      <c r="I34" s="21" t="n">
        <v>22</v>
      </c>
    </row>
    <row r="35" ht="12" customHeight="1">
      <c r="A35" s="15" t="n">
        <v>34</v>
      </c>
      <c r="B35" s="16" t="inlineStr">
        <is>
          <t>20881</t>
        </is>
      </c>
      <c r="C35" s="17" t="inlineStr">
        <is>
          <t>Bastão cruzeta 64mm x 2,39m para LV</t>
        </is>
      </c>
      <c r="D35" s="18" t="inlineStr">
        <is>
          <t>FLV21310-2</t>
        </is>
      </c>
      <c r="E35" s="16" t="inlineStr">
        <is>
          <t>82055900</t>
        </is>
      </c>
      <c r="F35" s="16" t="inlineStr">
        <is>
          <t>PC</t>
        </is>
      </c>
      <c r="G35" s="19" t="n">
        <v>1</v>
      </c>
      <c r="H35" s="20" t="n">
        <v>4350</v>
      </c>
      <c r="I35" s="21" t="n">
        <v>4350</v>
      </c>
    </row>
    <row r="36" ht="12" customHeight="1">
      <c r="A36" s="15" t="n">
        <v>35</v>
      </c>
      <c r="B36" s="16" t="inlineStr">
        <is>
          <t>16015</t>
        </is>
      </c>
      <c r="C36" s="17" t="inlineStr">
        <is>
          <t>Cabeçote anti-queda de cartucho com encaixe universal - DAQC</t>
        </is>
      </c>
      <c r="D36" s="18" t="inlineStr">
        <is>
          <t>SE 2369</t>
        </is>
      </c>
      <c r="E36" s="16" t="inlineStr">
        <is>
          <t>85352900</t>
        </is>
      </c>
      <c r="F36" s="16" t="inlineStr">
        <is>
          <t>PC</t>
        </is>
      </c>
      <c r="G36" s="19" t="n">
        <v>1</v>
      </c>
      <c r="H36" s="20" t="n">
        <v>148</v>
      </c>
      <c r="I36" s="21" t="n">
        <v>148</v>
      </c>
    </row>
    <row r="37" ht="12" customHeight="1">
      <c r="A37" s="15" t="n">
        <v>36</v>
      </c>
      <c r="B37" s="16" t="inlineStr">
        <is>
          <t>22026</t>
        </is>
      </c>
      <c r="C37" s="17" t="inlineStr">
        <is>
          <t>Escova de aço em V cabo de alumínio isolado</t>
        </is>
      </c>
      <c r="D37" s="18" t="inlineStr">
        <is>
          <t>TOP - 078 Isola</t>
        </is>
      </c>
      <c r="E37" s="16" t="inlineStr">
        <is>
          <t>96035000</t>
        </is>
      </c>
      <c r="F37" s="16" t="inlineStr">
        <is>
          <t>PC</t>
        </is>
      </c>
      <c r="G37" s="19" t="n">
        <v>2</v>
      </c>
      <c r="H37" s="20" t="n">
        <v>180</v>
      </c>
      <c r="I37" s="21" t="n">
        <v>360</v>
      </c>
    </row>
    <row r="38" ht="12" customHeight="1">
      <c r="A38" s="15" t="n">
        <v>37</v>
      </c>
      <c r="B38" s="16" t="inlineStr">
        <is>
          <t>21432</t>
        </is>
      </c>
      <c r="C38" s="17" t="inlineStr">
        <is>
          <t>Esticador para cabo de alumínio 5,88mm até 11,35mm para LV - PADRÃO COPEL</t>
        </is>
      </c>
      <c r="D38" s="18" t="inlineStr">
        <is>
          <t>C 50-1BLV COPEL</t>
        </is>
      </c>
      <c r="E38" s="16" t="inlineStr">
        <is>
          <t>84269900</t>
        </is>
      </c>
      <c r="F38" s="16" t="inlineStr">
        <is>
          <t>PC</t>
        </is>
      </c>
      <c r="G38" s="19" t="n">
        <v>3</v>
      </c>
      <c r="H38" s="20" t="n">
        <v>325</v>
      </c>
      <c r="I38" s="21" t="n">
        <v>975</v>
      </c>
    </row>
    <row r="39" ht="12" customHeight="1">
      <c r="A39" s="15" t="n">
        <v>38</v>
      </c>
      <c r="B39" s="16" t="inlineStr">
        <is>
          <t>21449</t>
        </is>
      </c>
      <c r="C39" s="17" t="inlineStr">
        <is>
          <t>Esticador para cabo de alumínio 10,5mm até 18,29 mm para LV - PADRÃO COPEL</t>
        </is>
      </c>
      <c r="D39" s="18" t="inlineStr">
        <is>
          <t>C 50-3BLV COPEL</t>
        </is>
      </c>
      <c r="E39" s="16" t="inlineStr">
        <is>
          <t>84269900</t>
        </is>
      </c>
      <c r="F39" s="16" t="inlineStr">
        <is>
          <t>PC</t>
        </is>
      </c>
      <c r="G39" s="19" t="n">
        <v>3</v>
      </c>
      <c r="H39" s="20" t="n">
        <v>610</v>
      </c>
      <c r="I39" s="21" t="n">
        <v>1830</v>
      </c>
    </row>
    <row r="40" ht="12" customHeight="1">
      <c r="A40" s="15" t="n">
        <v>39</v>
      </c>
      <c r="B40" s="16" t="inlineStr">
        <is>
          <t>20000</t>
        </is>
      </c>
      <c r="C40" s="17" t="inlineStr">
        <is>
          <t>Esticador meia lua para cabo de aço 3,18mm até 12,70mm</t>
        </is>
      </c>
      <c r="D40" s="18" t="inlineStr">
        <is>
          <t>C 47</t>
        </is>
      </c>
      <c r="E40" s="16" t="inlineStr">
        <is>
          <t>84269900</t>
        </is>
      </c>
      <c r="F40" s="16" t="inlineStr">
        <is>
          <t>PC</t>
        </is>
      </c>
      <c r="G40" s="19" t="n">
        <v>2</v>
      </c>
      <c r="H40" s="20" t="n">
        <v>188</v>
      </c>
      <c r="I40" s="21" t="n">
        <v>376</v>
      </c>
    </row>
    <row r="41" ht="12" customHeight="1">
      <c r="A41" s="15" t="n">
        <v>40</v>
      </c>
      <c r="B41" s="16" t="inlineStr">
        <is>
          <t>20588</t>
        </is>
      </c>
      <c r="C41" s="17" t="inlineStr">
        <is>
          <t>Estribo para mão francesa para</t>
        </is>
      </c>
      <c r="D41" s="18" t="inlineStr">
        <is>
          <t>LV                                                                                              C 287</t>
        </is>
      </c>
      <c r="E41" s="16" t="inlineStr">
        <is>
          <t>76169900</t>
        </is>
      </c>
      <c r="F41" s="16" t="inlineStr">
        <is>
          <t>PC</t>
        </is>
      </c>
      <c r="G41" s="19" t="n">
        <v>1</v>
      </c>
      <c r="H41" s="20" t="n">
        <v>239</v>
      </c>
      <c r="I41" s="21" t="n">
        <v>239</v>
      </c>
    </row>
    <row r="42" ht="12" customHeight="1">
      <c r="A42" s="15" t="n">
        <v>41</v>
      </c>
      <c r="B42" s="16" t="inlineStr">
        <is>
          <t>22534</t>
        </is>
      </c>
      <c r="C42" s="17" t="inlineStr">
        <is>
          <t>Estropo de nylon 50mmx800mm - 670 Dan</t>
        </is>
      </c>
      <c r="D42" s="18" t="inlineStr">
        <is>
          <t>SE 7720-3</t>
        </is>
      </c>
      <c r="E42" s="16" t="inlineStr">
        <is>
          <t>56090090</t>
        </is>
      </c>
      <c r="F42" s="16" t="inlineStr">
        <is>
          <t>PC</t>
        </is>
      </c>
      <c r="G42" s="19" t="n">
        <v>3</v>
      </c>
      <c r="H42" s="20" t="n">
        <v>139</v>
      </c>
      <c r="I42" s="21" t="n">
        <v>417</v>
      </c>
    </row>
    <row r="43" ht="12" customHeight="1">
      <c r="A43" s="15" t="n">
        <v>42</v>
      </c>
      <c r="B43" s="16" t="inlineStr">
        <is>
          <t>22532</t>
        </is>
      </c>
      <c r="C43" s="17" t="inlineStr">
        <is>
          <t>Estropo de nylon 50mmx500mm - 670 Dan</t>
        </is>
      </c>
      <c r="D43" s="18" t="inlineStr">
        <is>
          <t>SE 7720-2</t>
        </is>
      </c>
      <c r="E43" s="16" t="inlineStr">
        <is>
          <t>56090090</t>
        </is>
      </c>
      <c r="F43" s="16" t="inlineStr">
        <is>
          <t>PC</t>
        </is>
      </c>
      <c r="G43" s="19" t="n">
        <v>3</v>
      </c>
      <c r="H43" s="20" t="n">
        <v>115</v>
      </c>
      <c r="I43" s="21" t="n">
        <v>345</v>
      </c>
    </row>
    <row r="44" ht="12" customHeight="1">
      <c r="A44" s="15" t="n">
        <v>43</v>
      </c>
      <c r="B44" s="16" t="inlineStr">
        <is>
          <t>22011</t>
        </is>
      </c>
      <c r="C44" s="17" t="inlineStr">
        <is>
          <t>Gancho em aço para içamento</t>
        </is>
      </c>
      <c r="D44" s="18" t="inlineStr">
        <is>
          <t>TOP - 061</t>
        </is>
      </c>
      <c r="E44" s="16" t="inlineStr">
        <is>
          <t>82055900</t>
        </is>
      </c>
      <c r="F44" s="16" t="inlineStr">
        <is>
          <t>PC</t>
        </is>
      </c>
      <c r="G44" s="19" t="n">
        <v>1</v>
      </c>
      <c r="H44" s="20" t="n">
        <v>58</v>
      </c>
      <c r="I44" s="21" t="n">
        <v>58</v>
      </c>
    </row>
    <row r="45" ht="12" customHeight="1">
      <c r="A45" s="15" t="n">
        <v>44</v>
      </c>
      <c r="B45" s="16" t="inlineStr">
        <is>
          <t>10048</t>
        </is>
      </c>
      <c r="C45" s="17" t="inlineStr">
        <is>
          <t>Grampo de torção e mola para by-pass em LV</t>
        </is>
      </c>
      <c r="D45" s="18" t="inlineStr">
        <is>
          <t>C 792</t>
        </is>
      </c>
      <c r="E45" s="16" t="inlineStr">
        <is>
          <t>85359090</t>
        </is>
      </c>
      <c r="F45" s="16" t="inlineStr">
        <is>
          <t>PC</t>
        </is>
      </c>
      <c r="G45" s="19" t="n">
        <v>6</v>
      </c>
      <c r="H45" s="20" t="n">
        <v>155</v>
      </c>
      <c r="I45" s="21" t="n">
        <v>930</v>
      </c>
    </row>
    <row r="46" ht="12" customHeight="1">
      <c r="A46" s="15" t="n">
        <v>45</v>
      </c>
      <c r="B46" s="16" t="inlineStr">
        <is>
          <t>18990</t>
        </is>
      </c>
      <c r="C46" s="17" t="inlineStr">
        <is>
          <t>Grampo isolado 35kv cor transparente para by-pass em LV</t>
        </is>
      </c>
      <c r="D46" s="18" t="inlineStr">
        <is>
          <t>SE 11873</t>
        </is>
      </c>
      <c r="E46" s="16" t="inlineStr">
        <is>
          <t>85352900</t>
        </is>
      </c>
      <c r="F46" s="16" t="inlineStr">
        <is>
          <t>PC</t>
        </is>
      </c>
      <c r="G46" s="19" t="n">
        <v>6</v>
      </c>
      <c r="H46" s="20" t="n">
        <v>490</v>
      </c>
      <c r="I46" s="21" t="n">
        <v>2940</v>
      </c>
    </row>
    <row r="47" ht="12" customHeight="1">
      <c r="A47" s="15" t="n">
        <v>46</v>
      </c>
      <c r="B47" s="16" t="inlineStr">
        <is>
          <t>20291</t>
        </is>
      </c>
      <c r="C47" s="17" t="inlineStr">
        <is>
          <t>Mastro para içamento de carga 64mm x 1,83m completo para LV</t>
        </is>
      </c>
      <c r="D47" s="18" t="inlineStr">
        <is>
          <t>RC400-0578</t>
        </is>
      </c>
      <c r="E47" s="16" t="inlineStr">
        <is>
          <t>82055900</t>
        </is>
      </c>
      <c r="F47" s="16" t="inlineStr">
        <is>
          <t>PC</t>
        </is>
      </c>
      <c r="G47" s="19" t="n">
        <v>1</v>
      </c>
      <c r="H47" s="20" t="n">
        <v>7310</v>
      </c>
      <c r="I47" s="21" t="n">
        <v>7310</v>
      </c>
    </row>
    <row r="48" ht="12" customHeight="1">
      <c r="A48" s="15" t="n">
        <v>47</v>
      </c>
      <c r="B48" s="16" t="inlineStr">
        <is>
          <t>13273</t>
        </is>
      </c>
      <c r="C48" s="17" t="inlineStr">
        <is>
          <t>Inflador de luvas modelo leve para LV</t>
        </is>
      </c>
      <c r="D48" s="18" t="inlineStr">
        <is>
          <t>SE 3135</t>
        </is>
      </c>
      <c r="E48" s="16" t="inlineStr">
        <is>
          <t>84142000</t>
        </is>
      </c>
      <c r="F48" s="16" t="inlineStr">
        <is>
          <t>PC</t>
        </is>
      </c>
      <c r="G48" s="19" t="n">
        <v>1</v>
      </c>
      <c r="H48" s="20" t="n">
        <v>1460</v>
      </c>
      <c r="I48" s="21" t="n">
        <v>1460</v>
      </c>
    </row>
    <row r="49" ht="12" customHeight="1">
      <c r="A49" s="15" t="n">
        <v>48</v>
      </c>
      <c r="B49" s="16" t="inlineStr">
        <is>
          <t>21479</t>
        </is>
      </c>
      <c r="C49" s="17" t="inlineStr">
        <is>
          <t>Jampe temporário para bucha de transformador cabo isolado 15Kv</t>
        </is>
      </c>
      <c r="D49" s="18" t="inlineStr">
        <is>
          <t>2AWG ( 200A )                                                   SE 28559-2</t>
        </is>
      </c>
      <c r="E49" s="16" t="inlineStr">
        <is>
          <t>85352900</t>
        </is>
      </c>
      <c r="F49" s="16" t="inlineStr">
        <is>
          <t>PC</t>
        </is>
      </c>
      <c r="G49" s="19" t="n">
        <v>3</v>
      </c>
      <c r="H49" s="20" t="n">
        <v>2450</v>
      </c>
      <c r="I49" s="21" t="n">
        <v>7350</v>
      </c>
    </row>
    <row r="50" ht="12" customHeight="1">
      <c r="A50" s="15" t="n">
        <v>49</v>
      </c>
      <c r="B50" s="16" t="inlineStr">
        <is>
          <t>21437</t>
        </is>
      </c>
      <c r="C50" s="17" t="inlineStr">
        <is>
          <t>Ferramenta para conector cunha tipo pequena ( 1 cabeçote )</t>
        </is>
      </c>
      <c r="D50" s="18" t="inlineStr">
        <is>
          <t>SE 2574</t>
        </is>
      </c>
      <c r="E50" s="16" t="inlineStr">
        <is>
          <t>82055900</t>
        </is>
      </c>
      <c r="F50" s="16" t="inlineStr">
        <is>
          <t>PC</t>
        </is>
      </c>
      <c r="G50" s="19" t="n">
        <v>1</v>
      </c>
      <c r="H50" s="20" t="n">
        <v>2150</v>
      </c>
      <c r="I50" s="21" t="n">
        <v>2150</v>
      </c>
    </row>
    <row r="51" ht="12" customHeight="1">
      <c r="A51" s="15" t="n">
        <v>50</v>
      </c>
      <c r="B51" s="16" t="inlineStr">
        <is>
          <t>19243</t>
        </is>
      </c>
      <c r="C51" s="17" t="inlineStr">
        <is>
          <t>Kit resgate conforme ETS 1090 - Copel</t>
        </is>
      </c>
      <c r="D51" s="18" t="inlineStr">
        <is>
          <t>KITEPICOPEL</t>
        </is>
      </c>
      <c r="E51" s="16" t="inlineStr">
        <is>
          <t>63072000</t>
        </is>
      </c>
      <c r="F51" s="16" t="inlineStr">
        <is>
          <t>PC</t>
        </is>
      </c>
      <c r="G51" s="19" t="n">
        <v>1</v>
      </c>
      <c r="H51" s="20" t="n">
        <v>2260</v>
      </c>
      <c r="I51" s="21" t="n">
        <v>2260</v>
      </c>
    </row>
    <row r="52" ht="12" customHeight="1">
      <c r="A52" s="15" t="n">
        <v>51</v>
      </c>
      <c r="B52" s="16" t="inlineStr">
        <is>
          <t>22257</t>
        </is>
      </c>
      <c r="C52" s="17" t="inlineStr">
        <is>
          <t>Lanterna recarregável cor preta/verde com 1 LED de 7W de alta potência</t>
        </is>
      </c>
      <c r="D52" s="18" t="inlineStr">
        <is>
          <t>SH 8497</t>
        </is>
      </c>
      <c r="E52" s="16" t="inlineStr">
        <is>
          <t>85131010</t>
        </is>
      </c>
      <c r="F52" s="16" t="inlineStr">
        <is>
          <t>PC</t>
        </is>
      </c>
      <c r="G52" s="19" t="n">
        <v>1</v>
      </c>
      <c r="H52" s="20" t="n">
        <v>185</v>
      </c>
      <c r="I52" s="21" t="n">
        <v>185</v>
      </c>
    </row>
    <row r="53" ht="12" customHeight="1">
      <c r="A53" s="15" t="n">
        <v>52</v>
      </c>
      <c r="B53" s="16" t="inlineStr">
        <is>
          <t>22476</t>
        </is>
      </c>
      <c r="C53" s="17" t="inlineStr">
        <is>
          <t>Lanterna de cabeça 1 led 12W recarregável</t>
        </is>
      </c>
      <c r="D53" s="18" t="inlineStr">
        <is>
          <t>LTD 712</t>
        </is>
      </c>
      <c r="E53" s="16" t="inlineStr">
        <is>
          <t>85131010</t>
        </is>
      </c>
      <c r="F53" s="16" t="inlineStr">
        <is>
          <t>PC</t>
        </is>
      </c>
      <c r="G53" s="19" t="n">
        <v>3</v>
      </c>
      <c r="H53" s="20" t="n">
        <v>119</v>
      </c>
      <c r="I53" s="21" t="n">
        <v>357</v>
      </c>
    </row>
    <row r="54" ht="12" customHeight="1">
      <c r="A54" s="15" t="n">
        <v>53</v>
      </c>
      <c r="B54" s="16" t="inlineStr">
        <is>
          <t>21470</t>
        </is>
      </c>
      <c r="C54" s="17" t="inlineStr">
        <is>
          <t>Lima chata para enxada tipo murça com cabo 8" -</t>
        </is>
      </c>
      <c r="D54" s="18" t="inlineStr">
        <is>
          <t>Nicholson                                                                      08990BC</t>
        </is>
      </c>
      <c r="E54" s="16" t="inlineStr">
        <is>
          <t>82031010</t>
        </is>
      </c>
      <c r="F54" s="16" t="inlineStr">
        <is>
          <t>PC</t>
        </is>
      </c>
      <c r="G54" s="19" t="n">
        <v>1</v>
      </c>
      <c r="H54" s="20" t="n">
        <v>22</v>
      </c>
      <c r="I54" s="21" t="n">
        <v>22</v>
      </c>
    </row>
    <row r="55" ht="12" customHeight="1">
      <c r="A55" s="15" t="n">
        <v>54</v>
      </c>
      <c r="B55" s="16" t="inlineStr">
        <is>
          <t>22535</t>
        </is>
      </c>
      <c r="C55" s="17" t="inlineStr">
        <is>
          <t>Lona vinílica ( PVC 400 micras ) dupla face cor laranja/preto 3m x 4m</t>
        </is>
      </c>
      <c r="D55" s="18" t="inlineStr">
        <is>
          <t>3x4</t>
        </is>
      </c>
      <c r="E55" s="16" t="inlineStr">
        <is>
          <t>63069000</t>
        </is>
      </c>
      <c r="F55" s="16" t="inlineStr">
        <is>
          <t>PC</t>
        </is>
      </c>
      <c r="G55" s="19" t="n">
        <v>1</v>
      </c>
      <c r="H55" s="20" t="n">
        <v>440</v>
      </c>
      <c r="I55" s="21" t="n">
        <v>440</v>
      </c>
    </row>
    <row r="56" ht="12" customHeight="1">
      <c r="A56" s="15" t="n">
        <v>55</v>
      </c>
      <c r="B56" s="16" t="inlineStr">
        <is>
          <t>20258</t>
        </is>
      </c>
      <c r="C56" s="17" t="inlineStr">
        <is>
          <t>Marreta oitavada cabo madeira 500g</t>
        </is>
      </c>
      <c r="D56" s="18" t="inlineStr">
        <is>
          <t>40508/001</t>
        </is>
      </c>
      <c r="E56" s="16" t="inlineStr">
        <is>
          <t>82052000</t>
        </is>
      </c>
      <c r="F56" s="16" t="inlineStr">
        <is>
          <t>PC</t>
        </is>
      </c>
      <c r="G56" s="19" t="n">
        <v>1</v>
      </c>
      <c r="H56" s="20" t="n">
        <v>36</v>
      </c>
      <c r="I56" s="21" t="n">
        <v>36</v>
      </c>
    </row>
    <row r="57" ht="12" customHeight="1">
      <c r="A57" s="15" t="n">
        <v>56</v>
      </c>
      <c r="B57" s="16" t="inlineStr">
        <is>
          <t>20956</t>
        </is>
      </c>
      <c r="C57" s="17" t="inlineStr">
        <is>
          <t>Matriz sextavada para alicate hidraulico uso RDC e RSI 70mm2</t>
        </is>
      </c>
      <c r="D57" s="18" t="inlineStr">
        <is>
          <t>IND. 245A HEX.</t>
        </is>
      </c>
      <c r="E57" s="16" t="inlineStr">
        <is>
          <t>82055900</t>
        </is>
      </c>
      <c r="F57" s="16" t="inlineStr">
        <is>
          <t>JG</t>
        </is>
      </c>
      <c r="G57" s="19" t="n">
        <v>1</v>
      </c>
      <c r="H57" s="20" t="n">
        <v>135</v>
      </c>
      <c r="I57" s="21" t="n">
        <v>135</v>
      </c>
    </row>
    <row r="58" ht="12" customHeight="1">
      <c r="A58" s="15" t="n">
        <v>57</v>
      </c>
      <c r="B58" s="16" t="inlineStr">
        <is>
          <t>20957</t>
        </is>
      </c>
      <c r="C58" s="17" t="inlineStr">
        <is>
          <t>Matriz sextavada para alicate hidráulico uso RDC e RSI 120mm2</t>
        </is>
      </c>
      <c r="D58" s="18" t="inlineStr">
        <is>
          <t>IND. 249A HEX.</t>
        </is>
      </c>
      <c r="E58" s="16" t="inlineStr">
        <is>
          <t>82055900</t>
        </is>
      </c>
      <c r="F58" s="16" t="inlineStr">
        <is>
          <t>JG</t>
        </is>
      </c>
      <c r="G58" s="19" t="n">
        <v>1</v>
      </c>
      <c r="H58" s="20" t="n">
        <v>135</v>
      </c>
      <c r="I58" s="21" t="n">
        <v>135</v>
      </c>
    </row>
    <row r="59" ht="12" customHeight="1">
      <c r="A59" s="15" t="n">
        <v>58</v>
      </c>
      <c r="B59" s="16" t="inlineStr">
        <is>
          <t>21443</t>
        </is>
      </c>
      <c r="C59" s="17" t="inlineStr">
        <is>
          <t>Matriz para alicate compressão hidraulico luva AL 477MCM</t>
        </is>
      </c>
      <c r="D59" s="18" t="inlineStr">
        <is>
          <t>IND. 317</t>
        </is>
      </c>
      <c r="E59" s="16" t="inlineStr">
        <is>
          <t>82055900</t>
        </is>
      </c>
      <c r="F59" s="16" t="inlineStr">
        <is>
          <t>JG</t>
        </is>
      </c>
      <c r="G59" s="19" t="n">
        <v>1</v>
      </c>
      <c r="H59" s="20" t="n">
        <v>109</v>
      </c>
      <c r="I59" s="21" t="n">
        <v>109</v>
      </c>
    </row>
    <row r="60" ht="12" customHeight="1">
      <c r="A60" s="15" t="n">
        <v>59</v>
      </c>
      <c r="B60" s="16" t="inlineStr">
        <is>
          <t>20954</t>
        </is>
      </c>
      <c r="C60" s="17" t="inlineStr">
        <is>
          <t>Matriz sextavada para alicate hidráulico uso RDC e RSI 185mm2</t>
        </is>
      </c>
      <c r="D60" s="18" t="inlineStr">
        <is>
          <t>IND. 321A HEX</t>
        </is>
      </c>
      <c r="E60" s="16" t="inlineStr">
        <is>
          <t>82055900</t>
        </is>
      </c>
      <c r="F60" s="16" t="inlineStr">
        <is>
          <t>JG</t>
        </is>
      </c>
      <c r="G60" s="19" t="n">
        <v>1</v>
      </c>
      <c r="H60" s="20" t="n">
        <v>109</v>
      </c>
      <c r="I60" s="21" t="n">
        <v>109</v>
      </c>
    </row>
    <row r="61" ht="12" customHeight="1">
      <c r="A61" s="15" t="n">
        <v>60</v>
      </c>
      <c r="B61" s="16" t="inlineStr">
        <is>
          <t>21124</t>
        </is>
      </c>
      <c r="C61" s="17" t="inlineStr">
        <is>
          <t>Matriz para alicate compressão hidraulico luva AL 4AWG CA e luva Cu 25mm2</t>
        </is>
      </c>
      <c r="D61" s="18" t="inlineStr">
        <is>
          <t>IND. 162</t>
        </is>
      </c>
      <c r="E61" s="16" t="inlineStr">
        <is>
          <t>85352900</t>
        </is>
      </c>
      <c r="F61" s="16" t="inlineStr">
        <is>
          <t>JG</t>
        </is>
      </c>
      <c r="G61" s="19" t="n">
        <v>1</v>
      </c>
      <c r="H61" s="20" t="n">
        <v>109</v>
      </c>
      <c r="I61" s="21" t="n">
        <v>109</v>
      </c>
    </row>
    <row r="62" ht="12" customHeight="1">
      <c r="A62" s="15" t="n">
        <v>61</v>
      </c>
      <c r="B62" s="16" t="inlineStr">
        <is>
          <t>21125</t>
        </is>
      </c>
      <c r="C62" s="17" t="inlineStr">
        <is>
          <t>Matriz para alicate compressão hidraulico luva AL 2AWG CA e luva Cu 35mm2</t>
        </is>
      </c>
      <c r="D62" s="18" t="inlineStr">
        <is>
          <t>IND. 163</t>
        </is>
      </c>
      <c r="E62" s="16" t="inlineStr">
        <is>
          <t>85352900</t>
        </is>
      </c>
      <c r="F62" s="16" t="inlineStr">
        <is>
          <t>JG</t>
        </is>
      </c>
      <c r="G62" s="19" t="n">
        <v>1</v>
      </c>
      <c r="H62" s="20" t="n">
        <v>109</v>
      </c>
      <c r="I62" s="21" t="n">
        <v>109</v>
      </c>
    </row>
    <row r="63" ht="12" customHeight="1">
      <c r="A63" s="15" t="n">
        <v>62</v>
      </c>
      <c r="B63" s="16" t="inlineStr">
        <is>
          <t>21448</t>
        </is>
      </c>
      <c r="C63" s="17" t="inlineStr">
        <is>
          <t>Matriz para alicate compressão hidraulico luva AL AWG CAA - interna</t>
        </is>
      </c>
      <c r="D63" s="18" t="inlineStr">
        <is>
          <t>HID. 236</t>
        </is>
      </c>
      <c r="E63" s="16" t="inlineStr">
        <is>
          <t>82055900</t>
        </is>
      </c>
      <c r="F63" s="16" t="inlineStr">
        <is>
          <t>JG</t>
        </is>
      </c>
      <c r="G63" s="19" t="n">
        <v>1</v>
      </c>
      <c r="H63" s="20" t="n">
        <v>109</v>
      </c>
      <c r="I63" s="21" t="n">
        <v>109</v>
      </c>
    </row>
    <row r="64" ht="12" customHeight="1">
      <c r="A64" s="15" t="n">
        <v>63</v>
      </c>
      <c r="B64" s="16" t="inlineStr">
        <is>
          <t>21447</t>
        </is>
      </c>
      <c r="C64" s="17" t="inlineStr">
        <is>
          <t>Matriz para alicate compressão hidraulico luva AL 4AWG CAA - externa</t>
        </is>
      </c>
      <c r="D64" s="18" t="inlineStr">
        <is>
          <t>HID. 237</t>
        </is>
      </c>
      <c r="E64" s="16" t="inlineStr">
        <is>
          <t>82055900</t>
        </is>
      </c>
      <c r="F64" s="16" t="inlineStr">
        <is>
          <t>JG</t>
        </is>
      </c>
      <c r="G64" s="19" t="n">
        <v>1</v>
      </c>
      <c r="H64" s="20" t="n">
        <v>109</v>
      </c>
      <c r="I64" s="21" t="n">
        <v>109</v>
      </c>
    </row>
    <row r="65" ht="12" customHeight="1">
      <c r="A65" s="15" t="n">
        <v>64</v>
      </c>
      <c r="B65" s="16" t="inlineStr">
        <is>
          <t>21129</t>
        </is>
      </c>
      <c r="C65" s="17" t="inlineStr">
        <is>
          <t>Matriz para alicate compressão hidraulico luva AL 1/0 CAA interno e 2/0 CAA interno</t>
        </is>
      </c>
      <c r="D65" s="18" t="inlineStr">
        <is>
          <t>IND. 242</t>
        </is>
      </c>
      <c r="E65" s="16" t="inlineStr">
        <is>
          <t>82055900</t>
        </is>
      </c>
      <c r="F65" s="16" t="inlineStr">
        <is>
          <t>JG</t>
        </is>
      </c>
      <c r="G65" s="19" t="n">
        <v>1</v>
      </c>
      <c r="H65" s="20" t="n">
        <v>109</v>
      </c>
      <c r="I65" s="21" t="n">
        <v>109</v>
      </c>
    </row>
    <row r="66" ht="12" customHeight="1">
      <c r="A66" s="15" t="n">
        <v>65</v>
      </c>
      <c r="B66" s="16" t="inlineStr">
        <is>
          <t>21130</t>
        </is>
      </c>
      <c r="C66" s="17" t="inlineStr">
        <is>
          <t>Matriz para alicate compressão hidraulico luva AL 1/0 CA e 1/0 CAA externa</t>
        </is>
      </c>
      <c r="D66" s="18" t="inlineStr">
        <is>
          <t>IND. 243</t>
        </is>
      </c>
      <c r="E66" s="16" t="inlineStr">
        <is>
          <t>82055900</t>
        </is>
      </c>
      <c r="F66" s="16" t="inlineStr">
        <is>
          <t>JG</t>
        </is>
      </c>
      <c r="G66" s="19" t="n">
        <v>1</v>
      </c>
      <c r="H66" s="20" t="n">
        <v>109</v>
      </c>
      <c r="I66" s="21" t="n">
        <v>109</v>
      </c>
    </row>
    <row r="67" ht="12" customHeight="1">
      <c r="A67" s="15" t="n">
        <v>66</v>
      </c>
      <c r="B67" s="16" t="inlineStr">
        <is>
          <t>21131</t>
        </is>
      </c>
      <c r="C67" s="17" t="inlineStr">
        <is>
          <t>Matriz para alicate compressão hidraulico luva AL 2/0 CA e 2/0 CAA - externa</t>
        </is>
      </c>
      <c r="D67" s="18" t="inlineStr">
        <is>
          <t>IND. 245</t>
        </is>
      </c>
      <c r="E67" s="16" t="inlineStr">
        <is>
          <t>82055900</t>
        </is>
      </c>
      <c r="F67" s="16" t="inlineStr">
        <is>
          <t>JG</t>
        </is>
      </c>
      <c r="G67" s="19" t="n">
        <v>1</v>
      </c>
      <c r="H67" s="20" t="n">
        <v>109</v>
      </c>
      <c r="I67" s="21" t="n">
        <v>109</v>
      </c>
    </row>
    <row r="68" ht="12" customHeight="1">
      <c r="A68" s="15" t="n">
        <v>67</v>
      </c>
      <c r="B68" s="16" t="inlineStr">
        <is>
          <t>21318</t>
        </is>
      </c>
      <c r="C68" s="17" t="inlineStr">
        <is>
          <t>Moitão duplo leve de plástico uso até 400daN com 15m corda</t>
        </is>
      </c>
      <c r="D68" s="18" t="inlineStr">
        <is>
          <t>para LV                                                             FLV07777-1</t>
        </is>
      </c>
      <c r="E68" s="16" t="inlineStr">
        <is>
          <t>84251910</t>
        </is>
      </c>
      <c r="F68" s="16" t="inlineStr">
        <is>
          <t>PC</t>
        </is>
      </c>
      <c r="G68" s="19" t="n">
        <v>2</v>
      </c>
      <c r="H68" s="20" t="n">
        <v>1390</v>
      </c>
      <c r="I68" s="21" t="n">
        <v>2780</v>
      </c>
    </row>
    <row r="69" ht="12" customHeight="1">
      <c r="A69" s="15" t="n">
        <v>68</v>
      </c>
      <c r="B69" s="16" t="inlineStr">
        <is>
          <t>22407</t>
        </is>
      </c>
      <c r="C69" s="17" t="inlineStr">
        <is>
          <t>Moitão triplo de termoplástico cor preto uso até 1589daN com 45m corda</t>
        </is>
      </c>
      <c r="D69" s="18" t="inlineStr">
        <is>
          <t>para LV                                                 SE 511-1026</t>
        </is>
      </c>
      <c r="E69" s="16" t="inlineStr">
        <is>
          <t>84251910</t>
        </is>
      </c>
      <c r="F69" s="16" t="inlineStr">
        <is>
          <t>PC</t>
        </is>
      </c>
      <c r="G69" s="19" t="n">
        <v>1</v>
      </c>
      <c r="H69" s="20" t="n">
        <v>1980</v>
      </c>
      <c r="I69" s="21" t="n">
        <v>1980</v>
      </c>
    </row>
    <row r="70" ht="12" customHeight="1">
      <c r="A70" s="15" t="n">
        <v>69</v>
      </c>
      <c r="B70" s="16" t="inlineStr">
        <is>
          <t>21917</t>
        </is>
      </c>
      <c r="C70" s="17" t="inlineStr">
        <is>
          <t>Parafuso sela com colar 64mm uso em poste DT para LV</t>
        </is>
      </c>
      <c r="D70" s="18" t="inlineStr">
        <is>
          <t>SE 13609</t>
        </is>
      </c>
      <c r="E70" s="16" t="inlineStr">
        <is>
          <t>85352900</t>
        </is>
      </c>
      <c r="F70" s="16" t="inlineStr">
        <is>
          <t>PC</t>
        </is>
      </c>
      <c r="G70" s="19" t="n">
        <v>2</v>
      </c>
      <c r="H70" s="20" t="n">
        <v>770</v>
      </c>
      <c r="I70" s="21" t="n">
        <v>1540</v>
      </c>
    </row>
    <row r="71" ht="19.5" customHeight="1">
      <c r="A71" s="15" t="n">
        <v>70</v>
      </c>
      <c r="B71" s="16" t="inlineStr">
        <is>
          <t>19240</t>
        </is>
      </c>
      <c r="C71" s="17" t="inlineStr">
        <is>
          <t>Placa de sinalização em PVC cor AMARELA c/ilhoses - ATENÇÃO - NÃO OPERE ESTE EQUIPAMENTO - 33cx25cm</t>
        </is>
      </c>
      <c r="D71" s="18" t="inlineStr">
        <is>
          <t>ATENÇÃO - AMARE</t>
        </is>
      </c>
      <c r="E71" s="16" t="inlineStr">
        <is>
          <t>39199090</t>
        </is>
      </c>
      <c r="F71" s="16" t="inlineStr">
        <is>
          <t>PC</t>
        </is>
      </c>
      <c r="G71" s="19" t="n">
        <v>1</v>
      </c>
      <c r="H71" s="20" t="n">
        <v>39</v>
      </c>
      <c r="I71" s="21" t="n">
        <v>39</v>
      </c>
    </row>
    <row r="72" ht="12" customHeight="1">
      <c r="A72" s="15" t="n">
        <v>71</v>
      </c>
      <c r="B72" s="16" t="inlineStr">
        <is>
          <t>15003</t>
        </is>
      </c>
      <c r="C72" s="17" t="inlineStr">
        <is>
          <t>Pregador para lençois isolantes com 240mm para LV</t>
        </is>
      </c>
      <c r="D72" s="18" t="inlineStr">
        <is>
          <t>FLV 16886-1</t>
        </is>
      </c>
      <c r="E72" s="16" t="inlineStr">
        <is>
          <t>85479000</t>
        </is>
      </c>
      <c r="F72" s="16" t="inlineStr">
        <is>
          <t>PC</t>
        </is>
      </c>
      <c r="G72" s="19" t="n">
        <v>12</v>
      </c>
      <c r="H72" s="20" t="n">
        <v>106</v>
      </c>
      <c r="I72" s="21" t="n">
        <v>1272</v>
      </c>
    </row>
    <row r="73" ht="12" customHeight="1">
      <c r="A73" s="15" t="n">
        <v>72</v>
      </c>
      <c r="B73" s="16" t="inlineStr">
        <is>
          <t>20188</t>
        </is>
      </c>
      <c r="C73" s="17" t="inlineStr">
        <is>
          <t>Presilha de elevação 1'' sem isolador para</t>
        </is>
      </c>
      <c r="D73" s="18" t="inlineStr">
        <is>
          <t>LV                                                                                  C 291</t>
        </is>
      </c>
      <c r="E73" s="16" t="inlineStr">
        <is>
          <t>76169900</t>
        </is>
      </c>
      <c r="F73" s="16" t="inlineStr">
        <is>
          <t>PC</t>
        </is>
      </c>
      <c r="G73" s="19" t="n">
        <v>3</v>
      </c>
      <c r="H73" s="20" t="n">
        <v>310</v>
      </c>
      <c r="I73" s="21" t="n">
        <v>930</v>
      </c>
    </row>
    <row r="74" ht="12" customHeight="1">
      <c r="A74" s="15" t="n">
        <v>73</v>
      </c>
      <c r="B74" s="16" t="inlineStr">
        <is>
          <t>19791</t>
        </is>
      </c>
      <c r="C74" s="17" t="inlineStr">
        <is>
          <t>Bolsa para manga isolante 70cmx30cmx5cm em lona verde</t>
        </is>
      </c>
      <c r="D74" s="18" t="inlineStr">
        <is>
          <t>131.0000</t>
        </is>
      </c>
      <c r="E74" s="16" t="inlineStr">
        <is>
          <t>63079090</t>
        </is>
      </c>
      <c r="F74" s="16" t="inlineStr">
        <is>
          <t>PC</t>
        </is>
      </c>
      <c r="G74" s="19" t="n">
        <v>3</v>
      </c>
      <c r="H74" s="20" t="n">
        <v>52</v>
      </c>
      <c r="I74" s="21" t="n">
        <v>156</v>
      </c>
    </row>
    <row r="75" ht="12" customHeight="1">
      <c r="A75" s="15" t="n">
        <v>74</v>
      </c>
      <c r="B75" s="16" t="inlineStr">
        <is>
          <t>20336</t>
        </is>
      </c>
      <c r="C75" s="17" t="inlineStr">
        <is>
          <t>Sela para poste com extensor-colar 38mm para</t>
        </is>
      </c>
      <c r="D75" s="18" t="inlineStr">
        <is>
          <t>LV                                                                                C 273</t>
        </is>
      </c>
      <c r="E75" s="16" t="inlineStr">
        <is>
          <t>76169900</t>
        </is>
      </c>
      <c r="F75" s="16" t="inlineStr">
        <is>
          <t>PC</t>
        </is>
      </c>
      <c r="G75" s="19" t="n">
        <v>1</v>
      </c>
      <c r="H75" s="20" t="n">
        <v>860</v>
      </c>
      <c r="I75" s="21" t="n">
        <v>860</v>
      </c>
    </row>
    <row r="76" ht="12" customHeight="1">
      <c r="A76" s="15" t="n">
        <v>75</v>
      </c>
      <c r="B76" s="16" t="inlineStr">
        <is>
          <t>20181</t>
        </is>
      </c>
      <c r="C76" s="17" t="inlineStr">
        <is>
          <t>Sela para amarração de corda para LV</t>
        </is>
      </c>
      <c r="D76" s="18" t="inlineStr">
        <is>
          <t>C 285</t>
        </is>
      </c>
      <c r="E76" s="16" t="inlineStr">
        <is>
          <t>76169900</t>
        </is>
      </c>
      <c r="F76" s="16" t="inlineStr">
        <is>
          <t>PC</t>
        </is>
      </c>
      <c r="G76" s="19" t="n">
        <v>1</v>
      </c>
      <c r="H76" s="20" t="n">
        <v>510</v>
      </c>
      <c r="I76" s="21" t="n">
        <v>510</v>
      </c>
    </row>
    <row r="77" ht="12" customHeight="1">
      <c r="A77" s="15" t="n">
        <v>76</v>
      </c>
      <c r="B77" s="16" t="inlineStr">
        <is>
          <t>21330</t>
        </is>
      </c>
      <c r="C77" s="17" t="inlineStr">
        <is>
          <t>Lâmina para serrote de poda com gancho 14" - sem adaptador</t>
        </is>
      </c>
      <c r="D77" s="18" t="inlineStr">
        <is>
          <t>78399/019</t>
        </is>
      </c>
      <c r="E77" s="16" t="inlineStr">
        <is>
          <t>82119400</t>
        </is>
      </c>
      <c r="F77" s="16" t="inlineStr">
        <is>
          <t>PC</t>
        </is>
      </c>
      <c r="G77" s="19" t="n">
        <v>2</v>
      </c>
      <c r="H77" s="20" t="n">
        <v>195</v>
      </c>
      <c r="I77" s="21" t="n">
        <v>390</v>
      </c>
    </row>
    <row r="78" ht="12" customHeight="1">
      <c r="A78" s="15" t="n">
        <v>77</v>
      </c>
      <c r="B78" s="16" t="inlineStr">
        <is>
          <t>22238</t>
        </is>
      </c>
      <c r="C78" s="17" t="inlineStr">
        <is>
          <t>Adaptador em aço com parafusos para lâmina de poda ref 21330</t>
        </is>
      </c>
      <c r="D78" s="18" t="inlineStr">
        <is>
          <t>Serra</t>
        </is>
      </c>
      <c r="E78" s="16" t="inlineStr">
        <is>
          <t>73259990</t>
        </is>
      </c>
      <c r="F78" s="16" t="inlineStr">
        <is>
          <t>PC</t>
        </is>
      </c>
      <c r="G78" s="19" t="n">
        <v>2</v>
      </c>
      <c r="H78" s="20" t="n">
        <v>118</v>
      </c>
      <c r="I78" s="21" t="n">
        <v>236</v>
      </c>
    </row>
    <row r="79" ht="12" customHeight="1">
      <c r="A79" s="15" t="n">
        <v>78</v>
      </c>
      <c r="B79" s="16" t="inlineStr">
        <is>
          <t>21482</t>
        </is>
      </c>
      <c r="C79" s="17" t="inlineStr">
        <is>
          <t>Suporte isolado para by pass 34,5kV para LV</t>
        </is>
      </c>
      <c r="D79" s="18" t="inlineStr">
        <is>
          <t>SE 2711-8</t>
        </is>
      </c>
      <c r="E79" s="16" t="inlineStr">
        <is>
          <t>85352900</t>
        </is>
      </c>
      <c r="F79" s="16" t="inlineStr">
        <is>
          <t>PC</t>
        </is>
      </c>
      <c r="G79" s="19" t="n">
        <v>3</v>
      </c>
      <c r="H79" s="20" t="n">
        <v>380</v>
      </c>
      <c r="I79" s="21" t="n">
        <v>1140</v>
      </c>
    </row>
    <row r="80" ht="12" customHeight="1">
      <c r="A80" s="15" t="n">
        <v>79</v>
      </c>
      <c r="B80" s="16" t="inlineStr">
        <is>
          <t>20279</t>
        </is>
      </c>
      <c r="C80" s="17" t="inlineStr">
        <is>
          <t>Talha reforçada com tirante de nylon para 1000Kg para LV</t>
        </is>
      </c>
      <c r="D80" s="18" t="inlineStr">
        <is>
          <t>RC 309-0323</t>
        </is>
      </c>
      <c r="E80" s="16" t="inlineStr">
        <is>
          <t>84251910</t>
        </is>
      </c>
      <c r="F80" s="16" t="inlineStr">
        <is>
          <t>PC</t>
        </is>
      </c>
      <c r="G80" s="19" t="n">
        <v>2</v>
      </c>
      <c r="H80" s="20" t="n">
        <v>4490</v>
      </c>
      <c r="I80" s="21" t="n">
        <v>8980</v>
      </c>
    </row>
    <row r="81" ht="12" customHeight="1">
      <c r="A81" s="15" t="n">
        <v>80</v>
      </c>
      <c r="B81" s="16" t="inlineStr">
        <is>
          <t>20280</t>
        </is>
      </c>
      <c r="C81" s="17" t="inlineStr">
        <is>
          <t>Talha reforçada com tirante de nylon para 2000Kg para LV</t>
        </is>
      </c>
      <c r="D81" s="18" t="inlineStr">
        <is>
          <t>RC312-0000</t>
        </is>
      </c>
      <c r="E81" s="16" t="inlineStr">
        <is>
          <t>84251910</t>
        </is>
      </c>
      <c r="F81" s="16" t="inlineStr">
        <is>
          <t>PC</t>
        </is>
      </c>
      <c r="G81" s="19" t="n">
        <v>1</v>
      </c>
      <c r="H81" s="20" t="n">
        <v>5150</v>
      </c>
      <c r="I81" s="21" t="n">
        <v>5150</v>
      </c>
    </row>
    <row r="82" ht="12" customHeight="1">
      <c r="A82" s="15" t="n">
        <v>81</v>
      </c>
      <c r="B82" s="16" t="inlineStr">
        <is>
          <t>21489</t>
        </is>
      </c>
      <c r="C82" s="17" t="inlineStr">
        <is>
          <t>Terminal de cobre para grampo isolado e cabo 2 AWG ( 35 mm2 ) isolado para LV</t>
        </is>
      </c>
      <c r="D82" s="18" t="inlineStr">
        <is>
          <t>SE 711-3609</t>
        </is>
      </c>
      <c r="E82" s="16" t="inlineStr">
        <is>
          <t>85352900</t>
        </is>
      </c>
      <c r="F82" s="16" t="inlineStr">
        <is>
          <t>PC</t>
        </is>
      </c>
      <c r="G82" s="19" t="n">
        <v>12</v>
      </c>
      <c r="H82" s="20" t="n">
        <v>119</v>
      </c>
      <c r="I82" s="21" t="n">
        <v>1428</v>
      </c>
    </row>
    <row r="83" ht="12" customHeight="1">
      <c r="A83" s="15" t="n">
        <v>82</v>
      </c>
      <c r="B83" s="16" t="inlineStr">
        <is>
          <t>21630</t>
        </is>
      </c>
      <c r="C83" s="17" t="inlineStr">
        <is>
          <t>Terminal de cobre para grampo isolado e cabo 2/0 AWG ( 70 mm2 ) isolado para LV</t>
        </is>
      </c>
      <c r="D83" s="18" t="inlineStr">
        <is>
          <t>SE 711-3711</t>
        </is>
      </c>
      <c r="E83" s="16" t="inlineStr">
        <is>
          <t>85352900</t>
        </is>
      </c>
      <c r="F83" s="16" t="inlineStr">
        <is>
          <t>PC</t>
        </is>
      </c>
      <c r="G83" s="19" t="n">
        <v>12</v>
      </c>
      <c r="H83" s="20" t="n">
        <v>140</v>
      </c>
      <c r="I83" s="21" t="n">
        <v>1680</v>
      </c>
    </row>
    <row r="84" ht="12" customHeight="1">
      <c r="A84" s="15" t="n">
        <v>83</v>
      </c>
      <c r="B84" s="16" t="inlineStr">
        <is>
          <t>22515</t>
        </is>
      </c>
      <c r="C84" s="17" t="inlineStr">
        <is>
          <t>Tesourão isolado 38mm e 0,84 m comp. para cabo até 556MCM ACSR 23,5mm diâmetro</t>
        </is>
      </c>
      <c r="D84" s="18" t="inlineStr">
        <is>
          <t>FLV 19245-1</t>
        </is>
      </c>
      <c r="E84" s="16" t="inlineStr">
        <is>
          <t>82034000</t>
        </is>
      </c>
      <c r="F84" s="16" t="inlineStr">
        <is>
          <t>PC</t>
        </is>
      </c>
      <c r="G84" s="19" t="n">
        <v>1</v>
      </c>
      <c r="H84" s="20" t="n">
        <v>2110</v>
      </c>
      <c r="I84" s="21" t="n">
        <v>2110</v>
      </c>
    </row>
    <row r="85" ht="12" customHeight="1">
      <c r="A85" s="15" t="n">
        <v>84</v>
      </c>
      <c r="B85" s="16" t="inlineStr">
        <is>
          <t>20570</t>
        </is>
      </c>
      <c r="C85" s="17" t="inlineStr">
        <is>
          <t>Trena de fibra longa tipo aberta com 50m - Starfer</t>
        </is>
      </c>
      <c r="D85" s="18" t="inlineStr">
        <is>
          <t>14162828</t>
        </is>
      </c>
      <c r="E85" s="16" t="inlineStr">
        <is>
          <t>90178010</t>
        </is>
      </c>
      <c r="F85" s="16" t="inlineStr">
        <is>
          <t>PC</t>
        </is>
      </c>
      <c r="G85" s="19" t="n">
        <v>1</v>
      </c>
      <c r="H85" s="20" t="n">
        <v>49</v>
      </c>
      <c r="I85" s="21" t="n">
        <v>49</v>
      </c>
    </row>
    <row r="86" ht="12" customHeight="1">
      <c r="A86" s="15" t="n">
        <v>85</v>
      </c>
      <c r="B86" s="16" t="inlineStr">
        <is>
          <t>17925</t>
        </is>
      </c>
      <c r="C86" s="17" t="inlineStr">
        <is>
          <t>Capacete motosserrista classe B c/ protetor tela de 6" e protetor auditivo 22dB - CA 12354</t>
        </is>
      </c>
      <c r="D86" s="18" t="inlineStr">
        <is>
          <t>CA 51417                            17749</t>
        </is>
      </c>
      <c r="E86" s="16" t="inlineStr">
        <is>
          <t>65061090</t>
        </is>
      </c>
      <c r="F86" s="16" t="inlineStr">
        <is>
          <t>PC</t>
        </is>
      </c>
      <c r="G86" s="19" t="n">
        <v>1</v>
      </c>
      <c r="H86" s="20" t="n">
        <v>115</v>
      </c>
      <c r="I86" s="21" t="n">
        <v>115</v>
      </c>
    </row>
    <row r="87" ht="12" customHeight="1">
      <c r="A87" s="15" t="n">
        <v>86</v>
      </c>
      <c r="B87" s="16" t="inlineStr">
        <is>
          <t>17917</t>
        </is>
      </c>
      <c r="C87" s="17" t="inlineStr">
        <is>
          <t>Calça para motosserrista modelo 360° meio elástico cor azul Tam. G - CA 36175</t>
        </is>
      </c>
      <c r="D87" s="18" t="inlineStr">
        <is>
          <t>300432</t>
        </is>
      </c>
      <c r="E87" s="16" t="inlineStr">
        <is>
          <t>62034300</t>
        </is>
      </c>
      <c r="F87" s="16" t="inlineStr">
        <is>
          <t>PC</t>
        </is>
      </c>
      <c r="G87" s="19" t="n">
        <v>1</v>
      </c>
      <c r="H87" s="20" t="n">
        <v>298</v>
      </c>
      <c r="I87" s="21" t="n">
        <v>298</v>
      </c>
    </row>
    <row r="88" ht="12" customHeight="1">
      <c r="A88" s="15" t="n">
        <v>87</v>
      </c>
      <c r="B88" s="16" t="inlineStr">
        <is>
          <t>19875</t>
        </is>
      </c>
      <c r="C88" s="17" t="inlineStr">
        <is>
          <t>Balaclava em malha 100% algodão risco II cor cinza tipo duplo ocular ( COPEL ) - CA 42429</t>
        </is>
      </c>
      <c r="D88" s="18" t="inlineStr">
        <is>
          <t>Similar ETC2.02</t>
        </is>
      </c>
      <c r="E88" s="16" t="inlineStr">
        <is>
          <t>62171000</t>
        </is>
      </c>
      <c r="F88" s="16" t="inlineStr">
        <is>
          <t>PC</t>
        </is>
      </c>
      <c r="G88" s="19" t="n">
        <v>3</v>
      </c>
      <c r="H88" s="20" t="n">
        <v>129</v>
      </c>
      <c r="I88" s="21" t="n">
        <v>387</v>
      </c>
    </row>
    <row r="89" ht="19.5" customHeight="1">
      <c r="A89" s="15" t="n">
        <v>88</v>
      </c>
      <c r="B89" s="16" t="inlineStr">
        <is>
          <t>10884</t>
        </is>
      </c>
      <c r="C89" s="17" t="inlineStr">
        <is>
          <t>Conjunto para chuva ventilado nylon amarelo com refletivo 5cm Tam. G - CA 42186 / CA 42187</t>
        </is>
      </c>
      <c r="D89" s="18" t="inlineStr">
        <is>
          <t>670FT1030</t>
        </is>
      </c>
      <c r="E89" s="16" t="inlineStr">
        <is>
          <t>62104000</t>
        </is>
      </c>
      <c r="F89" s="16" t="inlineStr">
        <is>
          <t>CJ</t>
        </is>
      </c>
      <c r="G89" s="19" t="n">
        <v>3</v>
      </c>
      <c r="H89" s="20" t="n">
        <v>290</v>
      </c>
      <c r="I89" s="21" t="n">
        <v>870</v>
      </c>
    </row>
    <row r="90" ht="12" customHeight="1">
      <c r="A90" s="15" t="n">
        <v>89</v>
      </c>
      <c r="B90" s="16" t="inlineStr">
        <is>
          <t>11965</t>
        </is>
      </c>
      <c r="C90" s="17" t="inlineStr">
        <is>
          <t>Capacete seg. aba frontal classe E com suspensão e jugular cor cinza - CA 498</t>
        </is>
      </c>
      <c r="D90" s="18" t="inlineStr">
        <is>
          <t>311863</t>
        </is>
      </c>
      <c r="E90" s="16" t="inlineStr">
        <is>
          <t>65061090</t>
        </is>
      </c>
      <c r="F90" s="16" t="inlineStr">
        <is>
          <t>PC</t>
        </is>
      </c>
      <c r="G90" s="19" t="n">
        <v>3</v>
      </c>
      <c r="H90" s="20" t="n">
        <v>78</v>
      </c>
      <c r="I90" s="21" t="n">
        <v>234</v>
      </c>
    </row>
    <row r="91" ht="12" customHeight="1">
      <c r="A91" s="15" t="n">
        <v>90</v>
      </c>
      <c r="B91" s="16" t="inlineStr">
        <is>
          <t>19244</t>
        </is>
      </c>
      <c r="C91" s="17" t="inlineStr">
        <is>
          <t>Cinturão paraquedista dielétrico FR tipo Y - modelo VOLTAGE - Tam 1 - CA 48751</t>
        </is>
      </c>
      <c r="D91" s="18" t="inlineStr">
        <is>
          <t>USC00290DE01</t>
        </is>
      </c>
      <c r="E91" s="16" t="inlineStr">
        <is>
          <t>63072000</t>
        </is>
      </c>
      <c r="F91" s="16" t="inlineStr">
        <is>
          <t>PC</t>
        </is>
      </c>
      <c r="G91" s="19" t="n">
        <v>3</v>
      </c>
      <c r="H91" s="20" t="n">
        <v>880</v>
      </c>
      <c r="I91" s="21" t="n">
        <v>2640</v>
      </c>
    </row>
    <row r="92" ht="19.5" customHeight="1">
      <c r="A92" s="15" t="n">
        <v>91</v>
      </c>
      <c r="B92" s="16" t="inlineStr">
        <is>
          <t>19246</t>
        </is>
      </c>
      <c r="C92" s="17" t="inlineStr">
        <is>
          <t>Talabarte para posicionamento corda com 2m e protetor de corda - Giro Cord - padrão Copel</t>
        </is>
      </c>
      <c r="D92" s="18" t="inlineStr">
        <is>
          <t>KIT-TALAB-CEB-0</t>
        </is>
      </c>
      <c r="E92" s="16" t="inlineStr">
        <is>
          <t>63072000</t>
        </is>
      </c>
      <c r="F92" s="16" t="inlineStr">
        <is>
          <t>PC</t>
        </is>
      </c>
      <c r="G92" s="19" t="n">
        <v>3</v>
      </c>
      <c r="H92" s="20" t="n">
        <v>255</v>
      </c>
      <c r="I92" s="21" t="n">
        <v>765</v>
      </c>
    </row>
    <row r="93" ht="12" customHeight="1">
      <c r="A93" s="15" t="n">
        <v>92</v>
      </c>
      <c r="B93" s="16" t="inlineStr">
        <is>
          <t>19247</t>
        </is>
      </c>
      <c r="C93" s="17" t="inlineStr">
        <is>
          <t>Trava quedas com extensor e mosquetão oval - BRAKE COMPACT</t>
        </is>
      </c>
      <c r="D93" s="18" t="inlineStr">
        <is>
          <t>UST00141E000</t>
        </is>
      </c>
      <c r="E93" s="16" t="inlineStr">
        <is>
          <t>84799090</t>
        </is>
      </c>
      <c r="F93" s="16" t="inlineStr">
        <is>
          <t>PC</t>
        </is>
      </c>
      <c r="G93" s="19" t="n">
        <v>3</v>
      </c>
      <c r="H93" s="20" t="n">
        <v>266</v>
      </c>
      <c r="I93" s="21" t="n">
        <v>798</v>
      </c>
    </row>
    <row r="94" ht="12" customHeight="1">
      <c r="A94" s="15" t="n">
        <v>93</v>
      </c>
      <c r="B94" s="16" t="inlineStr">
        <is>
          <t>19314</t>
        </is>
      </c>
      <c r="C94" s="17" t="inlineStr">
        <is>
          <t>Cinturão paraquedista dielétrico para NR33 Tam 1 - CA 45399</t>
        </is>
      </c>
      <c r="D94" s="18" t="inlineStr">
        <is>
          <t>POTENZA PLUS EL</t>
        </is>
      </c>
      <c r="E94" s="16" t="inlineStr">
        <is>
          <t>63072000</t>
        </is>
      </c>
      <c r="F94" s="16" t="inlineStr">
        <is>
          <t>PC</t>
        </is>
      </c>
      <c r="G94" s="19" t="n">
        <v>3</v>
      </c>
      <c r="H94" s="20" t="n">
        <v>340</v>
      </c>
      <c r="I94" s="21" t="n">
        <v>1020</v>
      </c>
    </row>
    <row r="95" ht="19.5" customHeight="1">
      <c r="A95" s="15" t="n">
        <v>94</v>
      </c>
      <c r="B95" s="16" t="inlineStr">
        <is>
          <t>19374</t>
        </is>
      </c>
      <c r="C95" s="17" t="inlineStr">
        <is>
          <t>Talabarte tipo I retardante a chama com absorvedor e conector dielétrico gancho - SDE CHOCKER 17DE</t>
        </is>
      </c>
      <c r="D95" s="18" t="inlineStr">
        <is>
          <t>USL0019CH150-17</t>
        </is>
      </c>
      <c r="E95" s="16" t="inlineStr">
        <is>
          <t>63072000</t>
        </is>
      </c>
      <c r="F95" s="16" t="inlineStr">
        <is>
          <t>PC</t>
        </is>
      </c>
      <c r="G95" s="19" t="n">
        <v>3</v>
      </c>
      <c r="H95" s="20" t="n">
        <v>493</v>
      </c>
      <c r="I95" s="21" t="n">
        <v>1479</v>
      </c>
    </row>
    <row r="96" ht="12" customHeight="1">
      <c r="A96" s="15" t="n">
        <v>95</v>
      </c>
      <c r="B96" s="16" t="inlineStr">
        <is>
          <t>19192</t>
        </is>
      </c>
      <c r="C96" s="17" t="inlineStr">
        <is>
          <t>Luva isolante halogenada classe 4 - 40.000V Tam. 10'' - CA 38592</t>
        </is>
      </c>
      <c r="D96" s="18" t="inlineStr">
        <is>
          <t>CL 4</t>
        </is>
      </c>
      <c r="E96" s="16" t="inlineStr">
        <is>
          <t>40151900</t>
        </is>
      </c>
      <c r="F96" s="16" t="inlineStr">
        <is>
          <t>PR</t>
        </is>
      </c>
      <c r="G96" s="19" t="n">
        <v>4</v>
      </c>
      <c r="H96" s="20" t="n">
        <v>1390</v>
      </c>
      <c r="I96" s="21" t="n">
        <v>5560</v>
      </c>
    </row>
    <row r="97" ht="12" customHeight="1">
      <c r="A97" s="15" t="n">
        <v>96</v>
      </c>
      <c r="B97" s="16" t="inlineStr">
        <is>
          <t>19180</t>
        </is>
      </c>
      <c r="C97" s="17" t="inlineStr">
        <is>
          <t>Luva isolante halogenada classe 2 - 20.000V</t>
        </is>
      </c>
      <c r="D97" s="18" t="inlineStr">
        <is>
          <t>Tam. 10'' - CA 35862                                                               CL 2</t>
        </is>
      </c>
      <c r="E97" s="16" t="inlineStr">
        <is>
          <t>40151900</t>
        </is>
      </c>
      <c r="F97" s="16" t="inlineStr">
        <is>
          <t>PR</t>
        </is>
      </c>
      <c r="G97" s="19" t="n">
        <v>5</v>
      </c>
      <c r="H97" s="20" t="n">
        <v>435</v>
      </c>
      <c r="I97" s="21" t="n">
        <v>2175</v>
      </c>
    </row>
    <row r="98" ht="12" customHeight="1">
      <c r="A98" s="15" t="n">
        <v>97</v>
      </c>
      <c r="B98" s="16" t="inlineStr">
        <is>
          <t>11050</t>
        </is>
      </c>
      <c r="C98" s="17" t="inlineStr">
        <is>
          <t>Luva de vaqueta com reforço na palma Tam. G - CA 3983</t>
        </is>
      </c>
      <c r="D98" s="18" t="inlineStr">
        <is>
          <t>LV2161G</t>
        </is>
      </c>
      <c r="E98" s="16" t="inlineStr">
        <is>
          <t>42032900</t>
        </is>
      </c>
      <c r="F98" s="16" t="inlineStr">
        <is>
          <t>PR</t>
        </is>
      </c>
      <c r="G98" s="19" t="n">
        <v>6</v>
      </c>
      <c r="H98" s="20" t="n">
        <v>30</v>
      </c>
      <c r="I98" s="21" t="n">
        <v>180</v>
      </c>
    </row>
    <row r="99" ht="12" customHeight="1">
      <c r="A99" s="15" t="n">
        <v>98</v>
      </c>
      <c r="B99" s="16" t="inlineStr">
        <is>
          <t>18222</t>
        </is>
      </c>
      <c r="C99" s="17" t="inlineStr">
        <is>
          <t>Luva de cobertura punho 15cm com presilha plástica Tam. 11" - CA 29011 / 29012</t>
        </is>
      </c>
      <c r="D99" s="18" t="inlineStr">
        <is>
          <t>LV04-15-11-COB</t>
        </is>
      </c>
      <c r="E99" s="16" t="inlineStr">
        <is>
          <t>42032900</t>
        </is>
      </c>
      <c r="F99" s="16" t="inlineStr">
        <is>
          <t>PR</t>
        </is>
      </c>
      <c r="G99" s="19" t="n">
        <v>3</v>
      </c>
      <c r="H99" s="20" t="n">
        <v>30</v>
      </c>
      <c r="I99" s="21" t="n">
        <v>90</v>
      </c>
    </row>
    <row r="100" ht="12" customHeight="1">
      <c r="A100" s="15" t="n">
        <v>99</v>
      </c>
      <c r="B100" s="16" t="inlineStr">
        <is>
          <t>19081</t>
        </is>
      </c>
      <c r="C100" s="17" t="inlineStr">
        <is>
          <t>Kit manga isolante classe 2 Tam Único - CA 41770</t>
        </is>
      </c>
      <c r="D100" s="18" t="inlineStr">
        <is>
          <t>CL 2</t>
        </is>
      </c>
      <c r="E100" s="16" t="inlineStr">
        <is>
          <t>40159000</t>
        </is>
      </c>
      <c r="F100" s="16" t="inlineStr">
        <is>
          <t>KI</t>
        </is>
      </c>
      <c r="G100" s="19" t="n">
        <v>3</v>
      </c>
      <c r="H100" s="20" t="n">
        <v>660</v>
      </c>
      <c r="I100" s="21" t="n">
        <v>1980</v>
      </c>
    </row>
    <row r="101" ht="12" customHeight="1">
      <c r="A101" s="15" t="n">
        <v>100</v>
      </c>
      <c r="B101" s="16" t="inlineStr">
        <is>
          <t>15442</t>
        </is>
      </c>
      <c r="C101" s="17" t="inlineStr">
        <is>
          <t>Kit de manga isolante 40KV cor laranja Tam. M - CA 35724</t>
        </is>
      </c>
      <c r="D101" s="18" t="inlineStr">
        <is>
          <t>500.004.001.02</t>
        </is>
      </c>
      <c r="E101" s="16" t="inlineStr">
        <is>
          <t>40159000</t>
        </is>
      </c>
      <c r="F101" s="16" t="inlineStr">
        <is>
          <t>PR</t>
        </is>
      </c>
      <c r="G101" s="19" t="n">
        <v>3</v>
      </c>
      <c r="H101" s="20" t="n">
        <v>1650</v>
      </c>
      <c r="I101" s="21" t="n">
        <v>4950</v>
      </c>
    </row>
    <row r="102" ht="19.5" customHeight="1">
      <c r="A102" s="15" t="n">
        <v>101</v>
      </c>
      <c r="B102" s="16" t="inlineStr">
        <is>
          <t>19128</t>
        </is>
      </c>
      <c r="C102" s="17" t="inlineStr">
        <is>
          <t>Botina c/cadarço lingueta fole bico PVC alma plástica p/eletricista bidensidade PU Tam. 40 - CA 9921</t>
        </is>
      </c>
      <c r="D102" s="18" t="inlineStr">
        <is>
          <t>BE51-ASA6003268</t>
        </is>
      </c>
      <c r="E102" s="16" t="inlineStr">
        <is>
          <t>64039190</t>
        </is>
      </c>
      <c r="F102" s="16" t="inlineStr">
        <is>
          <t>PR</t>
        </is>
      </c>
      <c r="G102" s="19" t="n">
        <v>6</v>
      </c>
      <c r="H102" s="20" t="n">
        <v>135.5</v>
      </c>
      <c r="I102" s="21" t="n">
        <v>813</v>
      </c>
    </row>
    <row r="103" ht="12" customHeight="1">
      <c r="A103" s="15" t="n">
        <v>102</v>
      </c>
      <c r="B103" s="16" t="inlineStr">
        <is>
          <t>10289</t>
        </is>
      </c>
      <c r="C103" s="17" t="inlineStr">
        <is>
          <t>Óculos de segurança Starlight cinza com antiembaçante - CA 13077</t>
        </is>
      </c>
      <c r="D103" s="18" t="inlineStr">
        <is>
          <t>ET 86/FS</t>
        </is>
      </c>
      <c r="E103" s="16" t="inlineStr">
        <is>
          <t>90049020</t>
        </is>
      </c>
      <c r="F103" s="16" t="inlineStr">
        <is>
          <t>PC</t>
        </is>
      </c>
      <c r="G103" s="19" t="n">
        <v>3</v>
      </c>
      <c r="H103" s="20" t="n">
        <v>26</v>
      </c>
      <c r="I103" s="21" t="n">
        <v>78</v>
      </c>
    </row>
    <row r="104" ht="12" customHeight="1">
      <c r="A104" s="15" t="n">
        <v>103</v>
      </c>
      <c r="B104" s="16" t="inlineStr">
        <is>
          <t>13067</t>
        </is>
      </c>
      <c r="C104" s="17" t="inlineStr">
        <is>
          <t>Protetor solar FPS 30 / FP-UVA 11 com repelente 120gr</t>
        </is>
      </c>
      <c r="D104" s="18" t="inlineStr">
        <is>
          <t>FPS30 REPELENTE</t>
        </is>
      </c>
      <c r="E104" s="16" t="inlineStr">
        <is>
          <t>33049990</t>
        </is>
      </c>
      <c r="F104" s="16" t="inlineStr">
        <is>
          <t>PC</t>
        </is>
      </c>
      <c r="G104" s="19" t="n">
        <v>3</v>
      </c>
      <c r="H104" s="20" t="n">
        <v>22</v>
      </c>
      <c r="I104" s="21" t="n">
        <v>66</v>
      </c>
    </row>
    <row r="105" ht="12" customHeight="1">
      <c r="A105" s="15" t="n">
        <v>104</v>
      </c>
      <c r="B105" s="16" t="inlineStr">
        <is>
          <t>10351</t>
        </is>
      </c>
      <c r="C105" s="17" t="inlineStr">
        <is>
          <t>Talco farmaceutico para uso diversos - saco 1 Kg</t>
        </is>
      </c>
      <c r="D105" s="18" t="inlineStr">
        <is>
          <t>PREMIUM</t>
        </is>
      </c>
      <c r="E105" s="16" t="inlineStr">
        <is>
          <t>25262000</t>
        </is>
      </c>
      <c r="F105" s="16" t="inlineStr">
        <is>
          <t>KG</t>
        </is>
      </c>
      <c r="G105" s="19" t="n">
        <v>1</v>
      </c>
      <c r="H105" s="20" t="n">
        <v>34</v>
      </c>
      <c r="I105" s="21" t="n">
        <v>34</v>
      </c>
    </row>
    <row r="106" ht="12" customHeight="1">
      <c r="A106" s="15" t="n">
        <v>105</v>
      </c>
      <c r="B106" s="16" t="inlineStr">
        <is>
          <t>17923</t>
        </is>
      </c>
      <c r="C106" s="17" t="inlineStr">
        <is>
          <t>Perneira de segurança em material sintético com talas de PVC e velcro - CA 14750</t>
        </is>
      </c>
      <c r="D106" s="18" t="inlineStr">
        <is>
          <t>250495</t>
        </is>
      </c>
      <c r="E106" s="16" t="inlineStr">
        <is>
          <t>64069090</t>
        </is>
      </c>
      <c r="F106" s="16" t="inlineStr">
        <is>
          <t>PA</t>
        </is>
      </c>
      <c r="G106" s="19" t="n">
        <v>3</v>
      </c>
      <c r="H106" s="20" t="n">
        <v>41</v>
      </c>
      <c r="I106" s="21" t="n">
        <v>123</v>
      </c>
    </row>
    <row r="107" ht="12" customHeight="1">
      <c r="A107" s="15" t="n">
        <v>106</v>
      </c>
      <c r="B107" s="16" t="inlineStr">
        <is>
          <t>30750</t>
        </is>
      </c>
      <c r="C107" s="17" t="inlineStr">
        <is>
          <t>Alicate amperimetro Cat.IV 600V 1000A AC True RMS AC/DC</t>
        </is>
      </c>
      <c r="D107" s="18" t="inlineStr">
        <is>
          <t>e função NCV sonora e visual                                           ET 3811 (NOVO)</t>
        </is>
      </c>
      <c r="E107" s="16" t="inlineStr">
        <is>
          <t>90303100</t>
        </is>
      </c>
      <c r="F107" s="16" t="inlineStr">
        <is>
          <t>PC</t>
        </is>
      </c>
      <c r="G107" s="19" t="n">
        <v>1</v>
      </c>
      <c r="H107" s="20" t="n">
        <v>810</v>
      </c>
      <c r="I107" s="21" t="n">
        <v>810</v>
      </c>
    </row>
    <row r="108" ht="12" customHeight="1">
      <c r="A108" s="15" t="n">
        <v>107</v>
      </c>
      <c r="B108" s="16" t="inlineStr">
        <is>
          <t>16441</t>
        </is>
      </c>
      <c r="C108" s="17" t="inlineStr">
        <is>
          <t>Banqueta isolada 40KV para LV</t>
        </is>
      </c>
      <c r="D108" s="18" t="inlineStr">
        <is>
          <t>SE 3412</t>
        </is>
      </c>
      <c r="E108" s="16" t="inlineStr">
        <is>
          <t>39269090</t>
        </is>
      </c>
      <c r="F108" s="16" t="inlineStr">
        <is>
          <t>PC</t>
        </is>
      </c>
      <c r="G108" s="19" t="n">
        <v>1</v>
      </c>
      <c r="H108" s="20" t="n">
        <v>660</v>
      </c>
      <c r="I108" s="21" t="n">
        <v>660</v>
      </c>
    </row>
    <row r="109" ht="12" customHeight="1">
      <c r="A109" s="15" t="n">
        <v>108</v>
      </c>
      <c r="B109" s="16" t="inlineStr">
        <is>
          <t>16937</t>
        </is>
      </c>
      <c r="C109" s="17" t="inlineStr">
        <is>
          <t>Cobertura rígida circular 100x900mm 26,4KV para LV</t>
        </is>
      </c>
      <c r="D109" s="18" t="inlineStr">
        <is>
          <t>ROT 22287-4/400</t>
        </is>
      </c>
      <c r="E109" s="16" t="inlineStr">
        <is>
          <t>85472090</t>
        </is>
      </c>
      <c r="F109" s="16" t="inlineStr">
        <is>
          <t>PC</t>
        </is>
      </c>
      <c r="G109" s="19" t="n">
        <v>3</v>
      </c>
      <c r="H109" s="20" t="n">
        <v>160</v>
      </c>
      <c r="I109" s="21" t="n">
        <v>480</v>
      </c>
    </row>
    <row r="110" ht="12" customHeight="1">
      <c r="A110" s="15" t="n">
        <v>109</v>
      </c>
      <c r="B110" s="16" t="inlineStr">
        <is>
          <t>10297</t>
        </is>
      </c>
      <c r="C110" s="17" t="inlineStr">
        <is>
          <t>Cobertura rígida circular 150x300mm 26,4KV para LV</t>
        </is>
      </c>
      <c r="D110" s="18" t="inlineStr">
        <is>
          <t>COB04487-1</t>
        </is>
      </c>
      <c r="E110" s="16" t="inlineStr">
        <is>
          <t>85472090</t>
        </is>
      </c>
      <c r="F110" s="16" t="inlineStr">
        <is>
          <t>PC</t>
        </is>
      </c>
      <c r="G110" s="19" t="n">
        <v>6</v>
      </c>
      <c r="H110" s="20" t="n">
        <v>165</v>
      </c>
      <c r="I110" s="21" t="n">
        <v>990</v>
      </c>
    </row>
    <row r="111" ht="12" customHeight="1">
      <c r="A111" s="15" t="n">
        <v>110</v>
      </c>
      <c r="B111" s="16" t="inlineStr">
        <is>
          <t>13242</t>
        </is>
      </c>
      <c r="C111" s="17" t="inlineStr">
        <is>
          <t>Cobertura rígida circular 150x600mm 26,4KV para LV</t>
        </is>
      </c>
      <c r="D111" s="18" t="inlineStr">
        <is>
          <t>ROT 15598-3/400</t>
        </is>
      </c>
      <c r="E111" s="16" t="inlineStr">
        <is>
          <t>85472090</t>
        </is>
      </c>
      <c r="F111" s="16" t="inlineStr">
        <is>
          <t>PC</t>
        </is>
      </c>
      <c r="G111" s="19" t="n">
        <v>9</v>
      </c>
      <c r="H111" s="20" t="n">
        <v>119</v>
      </c>
      <c r="I111" s="21" t="n">
        <v>1071</v>
      </c>
    </row>
    <row r="112" ht="12" customHeight="1">
      <c r="A112" s="15" t="n">
        <v>111</v>
      </c>
      <c r="B112" s="16" t="inlineStr">
        <is>
          <t>10850</t>
        </is>
      </c>
      <c r="C112" s="17" t="inlineStr">
        <is>
          <t>Cobertura rígida para condutor MT 26,4KV sem presilha para LV</t>
        </is>
      </c>
      <c r="D112" s="18" t="inlineStr">
        <is>
          <t>COB03335-2</t>
        </is>
      </c>
      <c r="E112" s="16" t="inlineStr">
        <is>
          <t>85472090</t>
        </is>
      </c>
      <c r="F112" s="16" t="inlineStr">
        <is>
          <t>PC</t>
        </is>
      </c>
      <c r="G112" s="19" t="n">
        <v>12</v>
      </c>
      <c r="H112" s="20" t="n">
        <v>205</v>
      </c>
      <c r="I112" s="21" t="n">
        <v>2460</v>
      </c>
    </row>
    <row r="113" ht="12" customHeight="1">
      <c r="A113" s="15" t="n">
        <v>112</v>
      </c>
      <c r="B113" s="16" t="inlineStr">
        <is>
          <t>10305</t>
        </is>
      </c>
      <c r="C113" s="17" t="inlineStr">
        <is>
          <t>Cobertura rígida para condutor MT 36,6KV sem presilha para LV</t>
        </is>
      </c>
      <c r="D113" s="18" t="inlineStr">
        <is>
          <t>COB08835-2</t>
        </is>
      </c>
      <c r="E113" s="16" t="inlineStr">
        <is>
          <t>85472090</t>
        </is>
      </c>
      <c r="F113" s="16" t="inlineStr">
        <is>
          <t>PC</t>
        </is>
      </c>
      <c r="G113" s="19" t="n">
        <v>12</v>
      </c>
      <c r="H113" s="20" t="n">
        <v>403</v>
      </c>
      <c r="I113" s="21" t="n">
        <v>4836</v>
      </c>
    </row>
    <row r="114" ht="12" customHeight="1">
      <c r="A114" s="15" t="n">
        <v>113</v>
      </c>
      <c r="B114" s="16" t="inlineStr">
        <is>
          <t>12466</t>
        </is>
      </c>
      <c r="C114" s="17" t="inlineStr">
        <is>
          <t>Cobertura rígida para RDC em condutor até 25mm 36,6KV para LV</t>
        </is>
      </c>
      <c r="D114" s="18" t="inlineStr">
        <is>
          <t>COB11147-1</t>
        </is>
      </c>
      <c r="E114" s="16" t="inlineStr">
        <is>
          <t>85472090</t>
        </is>
      </c>
      <c r="F114" s="16" t="inlineStr">
        <is>
          <t>PC</t>
        </is>
      </c>
      <c r="G114" s="19" t="n">
        <v>6</v>
      </c>
      <c r="H114" s="20" t="n">
        <v>390</v>
      </c>
      <c r="I114" s="21" t="n">
        <v>2340</v>
      </c>
    </row>
    <row r="115" ht="12" customHeight="1">
      <c r="A115" s="15" t="n">
        <v>114</v>
      </c>
      <c r="B115" s="16" t="inlineStr">
        <is>
          <t>10849</t>
        </is>
      </c>
      <c r="C115" s="17" t="inlineStr">
        <is>
          <t>Cobertura rígida para cruzeta com isolador pilar tipo curta MT 36,6KV para LV</t>
        </is>
      </c>
      <c r="D115" s="18" t="inlineStr">
        <is>
          <t>COB11173-2</t>
        </is>
      </c>
      <c r="E115" s="16" t="inlineStr">
        <is>
          <t>85472090</t>
        </is>
      </c>
      <c r="F115" s="16" t="inlineStr">
        <is>
          <t>PC</t>
        </is>
      </c>
      <c r="G115" s="19" t="n">
        <v>1</v>
      </c>
      <c r="H115" s="20" t="n">
        <v>890</v>
      </c>
      <c r="I115" s="21" t="n">
        <v>890</v>
      </c>
    </row>
    <row r="116" ht="12" customHeight="1">
      <c r="A116" s="15" t="n">
        <v>115</v>
      </c>
      <c r="B116" s="16" t="inlineStr">
        <is>
          <t>13264</t>
        </is>
      </c>
      <c r="C116" s="17" t="inlineStr">
        <is>
          <t>Cobertura rígida para cruzeta com isolador Pino 36,6KV para LV</t>
        </is>
      </c>
      <c r="D116" s="18" t="inlineStr">
        <is>
          <t>ROT 5044/400279</t>
        </is>
      </c>
      <c r="E116" s="16" t="inlineStr">
        <is>
          <t>85472090</t>
        </is>
      </c>
      <c r="F116" s="16" t="inlineStr">
        <is>
          <t>PC</t>
        </is>
      </c>
      <c r="G116" s="19" t="n">
        <v>1</v>
      </c>
      <c r="H116" s="20" t="n">
        <v>470</v>
      </c>
      <c r="I116" s="21" t="n">
        <v>470</v>
      </c>
    </row>
    <row r="117" ht="12" customHeight="1">
      <c r="A117" s="15" t="n">
        <v>116</v>
      </c>
      <c r="B117" s="16" t="inlineStr">
        <is>
          <t>13246</t>
        </is>
      </c>
      <c r="C117" s="17" t="inlineStr">
        <is>
          <t>Cobertura rígida circular para poste ( frisada ) 230x1200mm 36,6KV para LV</t>
        </is>
      </c>
      <c r="D117" s="18" t="inlineStr">
        <is>
          <t>ROT 5048-5</t>
        </is>
      </c>
      <c r="E117" s="16" t="inlineStr">
        <is>
          <t>85472090</t>
        </is>
      </c>
      <c r="F117" s="16" t="inlineStr">
        <is>
          <t>PC</t>
        </is>
      </c>
      <c r="G117" s="19" t="n">
        <v>1</v>
      </c>
      <c r="H117" s="20" t="n">
        <v>690</v>
      </c>
      <c r="I117" s="21" t="n">
        <v>690</v>
      </c>
    </row>
    <row r="118" ht="12" customHeight="1">
      <c r="A118" s="15" t="n">
        <v>117</v>
      </c>
      <c r="B118" s="16" t="inlineStr">
        <is>
          <t>13247</t>
        </is>
      </c>
      <c r="C118" s="17" t="inlineStr">
        <is>
          <t>Cobertura rígida circular para poste ( frisada ) 230x1800mm 36,6KV para LV</t>
        </is>
      </c>
      <c r="D118" s="18" t="inlineStr">
        <is>
          <t>ROT 5048-7/4004</t>
        </is>
      </c>
      <c r="E118" s="16" t="inlineStr">
        <is>
          <t>85472090</t>
        </is>
      </c>
      <c r="F118" s="16" t="inlineStr">
        <is>
          <t>PC</t>
        </is>
      </c>
      <c r="G118" s="19" t="n">
        <v>2</v>
      </c>
      <c r="H118" s="20" t="n">
        <v>1140</v>
      </c>
      <c r="I118" s="21" t="n">
        <v>2280</v>
      </c>
    </row>
    <row r="119" ht="12" customHeight="1">
      <c r="A119" s="15" t="n">
        <v>118</v>
      </c>
      <c r="B119" s="16" t="inlineStr">
        <is>
          <t>13248</t>
        </is>
      </c>
      <c r="C119" s="17" t="inlineStr">
        <is>
          <t>Cobertura rígida circular para poste ( frisada ) 230x600mm 36,6KV para LV</t>
        </is>
      </c>
      <c r="D119" s="18" t="inlineStr">
        <is>
          <t>ROT 5048-3/4004</t>
        </is>
      </c>
      <c r="E119" s="16" t="inlineStr">
        <is>
          <t>85472090</t>
        </is>
      </c>
      <c r="F119" s="16" t="inlineStr">
        <is>
          <t>PC</t>
        </is>
      </c>
      <c r="G119" s="19" t="n">
        <v>9</v>
      </c>
      <c r="H119" s="20" t="n">
        <v>415</v>
      </c>
      <c r="I119" s="21" t="n">
        <v>3735</v>
      </c>
    </row>
    <row r="120" ht="12" customHeight="1">
      <c r="A120" s="15" t="n">
        <v>119</v>
      </c>
      <c r="B120" s="16" t="inlineStr">
        <is>
          <t>13249</t>
        </is>
      </c>
      <c r="C120" s="17" t="inlineStr">
        <is>
          <t>Cobertura rígida circular para poste ( frisada ) 300x1200mm 36,6KV para LV</t>
        </is>
      </c>
      <c r="D120" s="18" t="inlineStr">
        <is>
          <t>ROT 517-1141/40</t>
        </is>
      </c>
      <c r="E120" s="16" t="inlineStr">
        <is>
          <t>85472090</t>
        </is>
      </c>
      <c r="F120" s="16" t="inlineStr">
        <is>
          <t>PC</t>
        </is>
      </c>
      <c r="G120" s="19" t="n">
        <v>3</v>
      </c>
      <c r="H120" s="20" t="n">
        <v>945</v>
      </c>
      <c r="I120" s="21" t="n">
        <v>2835</v>
      </c>
    </row>
    <row r="121" ht="12" customHeight="1">
      <c r="A121" s="15" t="n">
        <v>120</v>
      </c>
      <c r="B121" s="16" t="inlineStr">
        <is>
          <t>12713</t>
        </is>
      </c>
      <c r="C121" s="17" t="inlineStr">
        <is>
          <t>Cobertura rígida para RDC em suporte "C" e isolador pilar 26,4kV para LV</t>
        </is>
      </c>
      <c r="D121" s="18" t="inlineStr">
        <is>
          <t>COB 11170-2</t>
        </is>
      </c>
      <c r="E121" s="16" t="inlineStr">
        <is>
          <t>85472090</t>
        </is>
      </c>
      <c r="F121" s="16" t="inlineStr">
        <is>
          <t>PC</t>
        </is>
      </c>
      <c r="G121" s="19" t="n">
        <v>1</v>
      </c>
      <c r="H121" s="20" t="n">
        <v>710</v>
      </c>
      <c r="I121" s="21" t="n">
        <v>710</v>
      </c>
    </row>
    <row r="122" ht="12" customHeight="1">
      <c r="A122" s="15" t="n">
        <v>121</v>
      </c>
      <c r="B122" s="16" t="inlineStr">
        <is>
          <t>10990</t>
        </is>
      </c>
      <c r="C122" s="17" t="inlineStr">
        <is>
          <t>Cobertura rígida para RDC em suporte horizontal 26,4KV para LV</t>
        </is>
      </c>
      <c r="D122" s="18" t="inlineStr">
        <is>
          <t>COB11047-1</t>
        </is>
      </c>
      <c r="E122" s="16" t="inlineStr">
        <is>
          <t>85472090</t>
        </is>
      </c>
      <c r="F122" s="16" t="inlineStr">
        <is>
          <t>PC</t>
        </is>
      </c>
      <c r="G122" s="19" t="n">
        <v>1</v>
      </c>
      <c r="H122" s="20" t="n">
        <v>650</v>
      </c>
      <c r="I122" s="21" t="n">
        <v>650</v>
      </c>
    </row>
    <row r="123" ht="12" customHeight="1">
      <c r="A123" s="15" t="n">
        <v>122</v>
      </c>
      <c r="B123" s="16" t="inlineStr">
        <is>
          <t>13238</t>
        </is>
      </c>
      <c r="C123" s="17" t="inlineStr">
        <is>
          <t>Cone sin. flexível 75cm laranja/branco com 2 faixas refletivas com furo</t>
        </is>
      </c>
      <c r="D123" s="18" t="inlineStr">
        <is>
          <t>6512</t>
        </is>
      </c>
      <c r="E123" s="16" t="inlineStr">
        <is>
          <t>39269090</t>
        </is>
      </c>
      <c r="F123" s="16" t="inlineStr">
        <is>
          <t>PC</t>
        </is>
      </c>
      <c r="G123" s="19" t="n">
        <v>8</v>
      </c>
      <c r="H123" s="20" t="n">
        <v>73</v>
      </c>
      <c r="I123" s="21" t="n">
        <v>584</v>
      </c>
    </row>
    <row r="124" ht="12" customHeight="1">
      <c r="A124" s="15" t="n">
        <v>123</v>
      </c>
      <c r="B124" s="16" t="inlineStr">
        <is>
          <t>19504</t>
        </is>
      </c>
      <c r="C124" s="17" t="inlineStr">
        <is>
          <t>Conjunto aterramento M.T. 34,5KV trif.- tipo Rede Distrib. c/trado e sela padrão COPEL</t>
        </is>
      </c>
      <c r="D124" s="18" t="inlineStr">
        <is>
          <t>ATR-322987-1 /</t>
        </is>
      </c>
      <c r="E124" s="16" t="inlineStr">
        <is>
          <t>85359010</t>
        </is>
      </c>
      <c r="F124" s="16" t="inlineStr">
        <is>
          <t>PC</t>
        </is>
      </c>
      <c r="G124" s="19" t="n">
        <v>2</v>
      </c>
      <c r="H124" s="20" t="n">
        <v>3850</v>
      </c>
      <c r="I124" s="21" t="n">
        <v>7700</v>
      </c>
    </row>
    <row r="125" ht="12" customHeight="1">
      <c r="A125" s="15" t="n">
        <v>124</v>
      </c>
      <c r="B125" s="16" t="inlineStr">
        <is>
          <t>15111</t>
        </is>
      </c>
      <c r="C125" s="17" t="inlineStr">
        <is>
          <t>Conjunto aterramento B.T. 1,0KV - tipo Multiplex 4 grampos pressão s/bolsa</t>
        </is>
      </c>
      <c r="D125" s="18" t="inlineStr">
        <is>
          <t>SE 4839 / SEG 1</t>
        </is>
      </c>
      <c r="E125" s="16" t="inlineStr">
        <is>
          <t>85352900</t>
        </is>
      </c>
      <c r="F125" s="16" t="inlineStr">
        <is>
          <t>PC</t>
        </is>
      </c>
      <c r="G125" s="19" t="n">
        <v>2</v>
      </c>
      <c r="H125" s="20" t="n">
        <v>490</v>
      </c>
      <c r="I125" s="21" t="n">
        <v>980</v>
      </c>
    </row>
    <row r="126" ht="12" customHeight="1">
      <c r="A126" s="15" t="n">
        <v>125</v>
      </c>
      <c r="B126" s="16" t="inlineStr">
        <is>
          <t>16287</t>
        </is>
      </c>
      <c r="C126" s="17" t="inlineStr">
        <is>
          <t>Detector de tensão por contato STAND BY 70V a 1Kv</t>
        </is>
      </c>
      <c r="D126" s="18" t="inlineStr">
        <is>
          <t>DTC-SB70-1000</t>
        </is>
      </c>
      <c r="E126" s="16" t="inlineStr">
        <is>
          <t>90303990</t>
        </is>
      </c>
      <c r="F126" s="16" t="inlineStr">
        <is>
          <t>PC</t>
        </is>
      </c>
      <c r="G126" s="19" t="n">
        <v>1</v>
      </c>
      <c r="H126" s="20" t="n">
        <v>780</v>
      </c>
      <c r="I126" s="21" t="n">
        <v>780</v>
      </c>
    </row>
    <row r="127" ht="19.5" customHeight="1">
      <c r="A127" s="15" t="n">
        <v>126</v>
      </c>
      <c r="B127" s="16" t="inlineStr">
        <is>
          <t>19473</t>
        </is>
      </c>
      <c r="C127" s="17" t="inlineStr">
        <is>
          <t>Detector de tensão tipo stand by por contato MT de 10KV a 36KV conforme norma IEC 61243-1</t>
        </is>
      </c>
      <c r="D127" s="18" t="inlineStr">
        <is>
          <t>CT 10-36 IEC</t>
        </is>
      </c>
      <c r="E127" s="16" t="inlineStr">
        <is>
          <t>90303390</t>
        </is>
      </c>
      <c r="F127" s="16" t="inlineStr">
        <is>
          <t>PC</t>
        </is>
      </c>
      <c r="G127" s="19" t="n">
        <v>1</v>
      </c>
      <c r="H127" s="20" t="n">
        <v>2290</v>
      </c>
      <c r="I127" s="21" t="n">
        <v>2290</v>
      </c>
    </row>
    <row r="128" ht="12" customHeight="1">
      <c r="A128" s="15" t="n">
        <v>127</v>
      </c>
      <c r="B128" s="16" t="inlineStr">
        <is>
          <t>12774</t>
        </is>
      </c>
      <c r="C128" s="17" t="inlineStr">
        <is>
          <t>Lencol isolante cor laranja classe 2 - 20KV tam. 910 x 910mm com entalhe</t>
        </is>
      </c>
      <c r="D128" s="18" t="inlineStr">
        <is>
          <t>000.910.005.08</t>
        </is>
      </c>
      <c r="E128" s="16" t="inlineStr">
        <is>
          <t>40159000</t>
        </is>
      </c>
      <c r="F128" s="16" t="inlineStr">
        <is>
          <t>PC</t>
        </is>
      </c>
      <c r="G128" s="19" t="n">
        <v>4</v>
      </c>
      <c r="H128" s="20" t="n">
        <v>660</v>
      </c>
      <c r="I128" s="21" t="n">
        <v>2640</v>
      </c>
    </row>
    <row r="129" ht="12" customHeight="1">
      <c r="A129" s="15" t="n">
        <v>128</v>
      </c>
      <c r="B129" s="16" t="inlineStr">
        <is>
          <t>14224</t>
        </is>
      </c>
      <c r="C129" s="17" t="inlineStr">
        <is>
          <t>Lençol isolante BT CL 0 tamanho 800mm comprimento c/velcro colado e certificado</t>
        </is>
      </c>
      <c r="D129" s="18" t="inlineStr">
        <is>
          <t>RB 1316</t>
        </is>
      </c>
      <c r="E129" s="16" t="inlineStr">
        <is>
          <t>40082900</t>
        </is>
      </c>
      <c r="F129" s="16" t="inlineStr">
        <is>
          <t>PC</t>
        </is>
      </c>
      <c r="G129" s="19" t="n">
        <v>4</v>
      </c>
      <c r="H129" s="20" t="n">
        <v>149</v>
      </c>
      <c r="I129" s="21" t="n">
        <v>596</v>
      </c>
    </row>
    <row r="130" ht="12" customHeight="1">
      <c r="A130" s="15" t="n">
        <v>129</v>
      </c>
      <c r="B130" s="16" t="inlineStr">
        <is>
          <t>18900</t>
        </is>
      </c>
      <c r="C130" s="17" t="inlineStr">
        <is>
          <t>Bolsa para 4 lençois BT 40cmx12cmx15cm - em lona verde</t>
        </is>
      </c>
      <c r="D130" s="18" t="inlineStr">
        <is>
          <t>120.147.0000</t>
        </is>
      </c>
      <c r="E130" s="16" t="inlineStr">
        <is>
          <t>63079090</t>
        </is>
      </c>
      <c r="F130" s="16" t="inlineStr">
        <is>
          <t>PC</t>
        </is>
      </c>
      <c r="G130" s="19" t="n">
        <v>1</v>
      </c>
      <c r="H130" s="20" t="n">
        <v>48</v>
      </c>
      <c r="I130" s="21" t="n">
        <v>48</v>
      </c>
    </row>
    <row r="131" ht="12" customHeight="1">
      <c r="A131" s="15" t="n">
        <v>130</v>
      </c>
      <c r="B131" s="16" t="inlineStr">
        <is>
          <t>12775</t>
        </is>
      </c>
      <c r="C131" s="17" t="inlineStr">
        <is>
          <t>Lençol isolante cor laranja classe 2 - 20KV tam. 910 x 910mm inteiriço</t>
        </is>
      </c>
      <c r="D131" s="18" t="inlineStr">
        <is>
          <t>000.910.005.09</t>
        </is>
      </c>
      <c r="E131" s="16" t="inlineStr">
        <is>
          <t>40159000</t>
        </is>
      </c>
      <c r="F131" s="16" t="inlineStr">
        <is>
          <t>PC</t>
        </is>
      </c>
      <c r="G131" s="19" t="n">
        <v>3</v>
      </c>
      <c r="H131" s="20" t="n">
        <v>650</v>
      </c>
      <c r="I131" s="21" t="n">
        <v>1950</v>
      </c>
    </row>
    <row r="132" ht="12" customHeight="1">
      <c r="A132" s="15" t="n">
        <v>131</v>
      </c>
      <c r="B132" s="16" t="inlineStr">
        <is>
          <t>10404</t>
        </is>
      </c>
      <c r="C132" s="17" t="inlineStr">
        <is>
          <t>Lençol isolante 36KV inteiriço tam. 900x900mm para LV</t>
        </is>
      </c>
      <c r="D132" s="18" t="inlineStr">
        <is>
          <t>LR-4/II</t>
        </is>
      </c>
      <c r="E132" s="16" t="inlineStr">
        <is>
          <t>85479000</t>
        </is>
      </c>
      <c r="F132" s="16" t="inlineStr">
        <is>
          <t>PC</t>
        </is>
      </c>
      <c r="G132" s="19" t="n">
        <v>4</v>
      </c>
      <c r="H132" s="20" t="n">
        <v>990</v>
      </c>
      <c r="I132" s="21" t="n">
        <v>3960</v>
      </c>
    </row>
    <row r="133" ht="12" customHeight="1">
      <c r="A133" s="15" t="n">
        <v>132</v>
      </c>
      <c r="B133" s="16" t="inlineStr">
        <is>
          <t>19308</t>
        </is>
      </c>
      <c r="C133" s="17" t="inlineStr">
        <is>
          <t>Alça manga isolante</t>
        </is>
      </c>
      <c r="D133" s="18" t="n"/>
      <c r="E133" s="16" t="inlineStr">
        <is>
          <t>40151900</t>
        </is>
      </c>
      <c r="F133" s="16" t="inlineStr">
        <is>
          <t>PC</t>
        </is>
      </c>
      <c r="G133" s="19" t="n">
        <v>6</v>
      </c>
      <c r="H133" s="20" t="n">
        <v>30</v>
      </c>
      <c r="I133" s="21" t="n">
        <v>180</v>
      </c>
    </row>
    <row r="134" ht="12" customHeight="1">
      <c r="A134" s="15" t="n">
        <v>133</v>
      </c>
      <c r="B134" s="16" t="inlineStr">
        <is>
          <t>16257</t>
        </is>
      </c>
      <c r="C134" s="17" t="inlineStr">
        <is>
          <t>Testador de fase analógico de 0,1KV a 48kV ( acompanha 1 par extensão resistor ) para LV</t>
        </is>
      </c>
      <c r="D134" s="18" t="inlineStr">
        <is>
          <t>TFA16 1P-48</t>
        </is>
      </c>
      <c r="E134" s="16" t="inlineStr">
        <is>
          <t>90303990</t>
        </is>
      </c>
      <c r="F134" s="16" t="inlineStr">
        <is>
          <t>PC</t>
        </is>
      </c>
      <c r="G134" s="19" t="n">
        <v>1</v>
      </c>
      <c r="H134" s="20" t="n">
        <v>4590</v>
      </c>
      <c r="I134" s="21" t="n">
        <v>4590</v>
      </c>
    </row>
    <row r="135" ht="12" customHeight="1">
      <c r="A135" s="15" t="n">
        <v>134</v>
      </c>
      <c r="B135" s="16" t="inlineStr">
        <is>
          <t>10076</t>
        </is>
      </c>
      <c r="C135" s="17" t="inlineStr">
        <is>
          <t>Vara de manobra 4 elementos (5,20m) 38mm sem cabeçote - Promo</t>
        </is>
      </c>
      <c r="D135" s="18" t="inlineStr">
        <is>
          <t>VMR 70</t>
        </is>
      </c>
      <c r="E135" s="16" t="inlineStr">
        <is>
          <t>85352900</t>
        </is>
      </c>
      <c r="F135" s="16" t="inlineStr">
        <is>
          <t>CJ</t>
        </is>
      </c>
      <c r="G135" s="19" t="n">
        <v>1</v>
      </c>
      <c r="H135" s="20" t="n">
        <v>1420</v>
      </c>
      <c r="I135" s="21" t="n">
        <v>1420</v>
      </c>
    </row>
    <row r="136" ht="12" customHeight="1">
      <c r="A136" s="15" t="n">
        <v>135</v>
      </c>
      <c r="B136" s="16" t="inlineStr">
        <is>
          <t>10342</t>
        </is>
      </c>
      <c r="C136" s="17" t="inlineStr">
        <is>
          <t>Bolsa para VM 4 elementos 150cmx36cm - em lona verde</t>
        </is>
      </c>
      <c r="D136" s="18" t="inlineStr">
        <is>
          <t>120.180.D000</t>
        </is>
      </c>
      <c r="E136" s="16" t="inlineStr">
        <is>
          <t>63079090</t>
        </is>
      </c>
      <c r="F136" s="16" t="inlineStr">
        <is>
          <t>PC</t>
        </is>
      </c>
      <c r="G136" s="19" t="n">
        <v>1</v>
      </c>
      <c r="H136" s="20" t="n">
        <v>105</v>
      </c>
      <c r="I136" s="21" t="n">
        <v>105</v>
      </c>
    </row>
    <row r="137" ht="12" customHeight="1">
      <c r="A137" s="15" t="n">
        <v>136</v>
      </c>
      <c r="B137" s="16" t="inlineStr">
        <is>
          <t>10190</t>
        </is>
      </c>
      <c r="C137" s="17" t="inlineStr">
        <is>
          <t>Vara de manobra telescópica 7 seções reforçadas (9,71m) sem cabeçote</t>
        </is>
      </c>
      <c r="D137" s="18" t="inlineStr">
        <is>
          <t>VTT-3HD/9</t>
        </is>
      </c>
      <c r="E137" s="16" t="inlineStr">
        <is>
          <t>85352900</t>
        </is>
      </c>
      <c r="F137" s="16" t="inlineStr">
        <is>
          <t>PC</t>
        </is>
      </c>
      <c r="G137" s="19" t="n">
        <v>1</v>
      </c>
      <c r="H137" s="20" t="n">
        <v>1920</v>
      </c>
      <c r="I137" s="21" t="n">
        <v>1920</v>
      </c>
    </row>
    <row r="138" ht="12" customHeight="1">
      <c r="A138" s="22" t="n">
        <v>137</v>
      </c>
      <c r="B138" s="23" t="inlineStr">
        <is>
          <t>10629</t>
        </is>
      </c>
      <c r="C138" s="24" t="inlineStr">
        <is>
          <t>Bolsa para VTT 185cmx20cm ( VTT 5ER / VTT 3HD/9 / VTT 1/8 ) - em lona verde</t>
        </is>
      </c>
      <c r="D138" s="25" t="inlineStr">
        <is>
          <t>120.184.T400</t>
        </is>
      </c>
      <c r="E138" s="23" t="inlineStr">
        <is>
          <t>63079090</t>
        </is>
      </c>
      <c r="F138" s="23" t="inlineStr">
        <is>
          <t>PC</t>
        </is>
      </c>
      <c r="G138" s="26" t="n">
        <v>1</v>
      </c>
      <c r="H138" s="27" t="n">
        <v>90</v>
      </c>
      <c r="I138" s="28" t="n">
        <v>90</v>
      </c>
    </row>
    <row r="146" ht="27.60000038146973" customHeight="1">
      <c r="A146" s="35" t="inlineStr">
        <is>
          <t>Categoria</t>
        </is>
      </c>
      <c r="B146" s="35" t="inlineStr">
        <is>
          <t>Subgrupo</t>
        </is>
      </c>
      <c r="C146" s="35" t="inlineStr">
        <is>
          <t>Item / Descrição</t>
        </is>
      </c>
      <c r="D146" s="35" t="inlineStr">
        <is>
          <t>ETS</t>
        </is>
      </c>
      <c r="E146" s="35" t="inlineStr">
        <is>
          <t>Quantidade</t>
        </is>
      </c>
      <c r="F146" s="35" t="inlineStr">
        <is>
          <t>Individual</t>
        </is>
      </c>
      <c r="G146" s="35" t="inlineStr">
        <is>
          <t>Turma</t>
        </is>
      </c>
      <c r="H146" s="35" t="inlineStr">
        <is>
          <t>Ensaio</t>
        </is>
      </c>
      <c r="I146" s="35" t="inlineStr">
        <is>
          <t>Página PDF</t>
        </is>
      </c>
    </row>
    <row r="147" ht="66" customHeight="1">
      <c r="A147" s="36" t="inlineStr">
        <is>
          <t>Equipamentos e ferramentas de uso coletivo</t>
        </is>
      </c>
      <c r="B147" s="36" t="n"/>
      <c r="C147" s="36" t="inlineStr">
        <is>
          <t>Alavanca de aço 1" x 1,80 m</t>
        </is>
      </c>
      <c r="D147" s="36" t="n"/>
      <c r="E147" s="36" t="n">
        <v>1</v>
      </c>
      <c r="F147" s="36" t="n"/>
      <c r="G147" s="36" t="n"/>
      <c r="H147" s="36" t="n"/>
      <c r="I147" s="36" t="n"/>
    </row>
    <row r="148" ht="66" customHeight="1">
      <c r="A148" s="36" t="inlineStr">
        <is>
          <t>Equipamentos e ferramentas de uso coletivo</t>
        </is>
      </c>
      <c r="B148" s="36" t="n"/>
      <c r="C148" s="36" t="inlineStr">
        <is>
          <t>Alicate de compressão hidráulica 12 t Acionamento Manual NTC 890020</t>
        </is>
      </c>
      <c r="D148" s="36" t="n"/>
      <c r="E148" s="36" t="n">
        <v>1</v>
      </c>
      <c r="F148" s="36" t="n"/>
      <c r="G148" s="36" t="n"/>
      <c r="H148" s="36" t="inlineStr">
        <is>
          <t>EM</t>
        </is>
      </c>
      <c r="I148" s="36" t="n"/>
    </row>
    <row r="149" ht="66" customHeight="1">
      <c r="A149" s="36" t="inlineStr">
        <is>
          <t>Equipamentos e ferramentas de uso coletivo</t>
        </is>
      </c>
      <c r="B149" s="36" t="n"/>
      <c r="C149" s="36" t="inlineStr">
        <is>
          <t>Alicate de compressão mecânica 4 t</t>
        </is>
      </c>
      <c r="D149" s="36" t="n"/>
      <c r="E149" s="36" t="inlineStr">
        <is>
          <t>1</t>
        </is>
      </c>
      <c r="F149" s="36" t="n"/>
      <c r="G149" s="36" t="n"/>
      <c r="H149" s="36" t="inlineStr">
        <is>
          <t>EM</t>
        </is>
      </c>
      <c r="I149" s="36" t="n"/>
    </row>
    <row r="150" ht="66" customHeight="1">
      <c r="A150" s="36" t="inlineStr">
        <is>
          <t>Equipamentos e ferramentas de uso coletivo</t>
        </is>
      </c>
      <c r="B150" s="36" t="n"/>
      <c r="C150" s="36" t="inlineStr">
        <is>
          <t>Arco de serra de 300 mm com lâmina</t>
        </is>
      </c>
      <c r="D150" s="36" t="n"/>
      <c r="E150" s="36" t="inlineStr">
        <is>
          <t>1</t>
        </is>
      </c>
      <c r="F150" s="36" t="n"/>
      <c r="G150" s="36" t="n"/>
      <c r="H150" s="36" t="n"/>
      <c r="I150" s="36" t="n"/>
    </row>
    <row r="151" ht="66" customHeight="1">
      <c r="A151" s="36" t="inlineStr">
        <is>
          <t>Equipamentos e ferramentas de uso coletivo</t>
        </is>
      </c>
      <c r="B151" s="36" t="n"/>
      <c r="C151" s="36" t="inlineStr">
        <is>
          <t>Bandeira ou placa sinalizadora de 300 x 300 mm</t>
        </is>
      </c>
      <c r="D151" s="36" t="inlineStr">
        <is>
          <t>1.073</t>
        </is>
      </c>
      <c r="E151" s="36" t="inlineStr">
        <is>
          <t>1</t>
        </is>
      </c>
      <c r="F151" s="36" t="n"/>
      <c r="G151" s="36" t="n"/>
      <c r="H151" s="36" t="n"/>
      <c r="I151" s="36" t="n"/>
    </row>
    <row r="152" ht="66" customHeight="1">
      <c r="A152" s="36" t="inlineStr">
        <is>
          <t>Equipamentos e ferramentas de uso coletivo</t>
        </is>
      </c>
      <c r="B152" s="36" t="n"/>
      <c r="C152" s="36" t="inlineStr">
        <is>
          <t>Bastão de aterramento para BT com capa</t>
        </is>
      </c>
      <c r="D152" s="36" t="n"/>
      <c r="E152" s="36" t="inlineStr">
        <is>
          <t>2</t>
        </is>
      </c>
      <c r="F152" s="36" t="n"/>
      <c r="G152" s="36" t="n"/>
      <c r="H152" s="36" t="n"/>
      <c r="I152" s="36" t="n"/>
    </row>
    <row r="153" ht="66" customHeight="1">
      <c r="A153" s="36" t="inlineStr">
        <is>
          <t>Equipamentos e ferramentas de uso coletivo</t>
        </is>
      </c>
      <c r="B153" s="36" t="n"/>
      <c r="C153" s="36" t="inlineStr">
        <is>
          <t>Bastão pega tudo 32 x 3.190 mm</t>
        </is>
      </c>
      <c r="D153" s="36" t="n"/>
      <c r="E153" s="36" t="inlineStr">
        <is>
          <t>1</t>
        </is>
      </c>
      <c r="F153" s="36" t="n"/>
      <c r="G153" s="36" t="n"/>
      <c r="H153" s="36" t="inlineStr">
        <is>
          <t>EE</t>
        </is>
      </c>
      <c r="I153" s="36" t="n"/>
    </row>
    <row r="154" ht="66" customHeight="1">
      <c r="A154" s="36" t="inlineStr">
        <is>
          <t>Equipamentos e ferramentas de uso coletivo</t>
        </is>
      </c>
      <c r="B154" s="36" t="n"/>
      <c r="C154" s="36" t="inlineStr">
        <is>
          <t>Batedor de haste B220</t>
        </is>
      </c>
      <c r="D154" s="36" t="n"/>
      <c r="E154" s="36" t="inlineStr">
        <is>
          <t>1</t>
        </is>
      </c>
      <c r="F154" s="36" t="n"/>
      <c r="G154" s="36" t="n"/>
      <c r="H154" s="36" t="n"/>
      <c r="I154" s="36" t="n"/>
    </row>
    <row r="155" ht="66" customHeight="1">
      <c r="A155" s="36" t="inlineStr">
        <is>
          <t>Equipamentos e ferramentas de uso coletivo</t>
        </is>
      </c>
      <c r="B155" s="36" t="n"/>
      <c r="C155" s="36" t="inlineStr">
        <is>
          <t>Binóculo prismático 30 x 50mm</t>
        </is>
      </c>
      <c r="D155" s="36" t="n"/>
      <c r="E155" s="36" t="inlineStr">
        <is>
          <t>1</t>
        </is>
      </c>
      <c r="F155" s="36" t="n"/>
      <c r="G155" s="36" t="n"/>
      <c r="H155" s="36" t="n"/>
      <c r="I155" s="36" t="n"/>
    </row>
    <row r="156" ht="66" customHeight="1">
      <c r="A156" s="36" t="inlineStr">
        <is>
          <t>Equipamentos e ferramentas de uso coletivo</t>
        </is>
      </c>
      <c r="B156" s="36" t="n"/>
      <c r="C156" s="36" t="inlineStr">
        <is>
          <t>Capacete com protetor facial</t>
        </is>
      </c>
      <c r="D156" s="36" t="inlineStr">
        <is>
          <t>1.086</t>
        </is>
      </c>
      <c r="E156" s="36" t="inlineStr">
        <is>
          <t>1</t>
        </is>
      </c>
      <c r="F156" s="36" t="n"/>
      <c r="G156" s="36" t="n"/>
      <c r="H156" s="36" t="n"/>
      <c r="I156" s="36" t="n"/>
    </row>
    <row r="157" ht="66" customHeight="1">
      <c r="A157" s="36" t="inlineStr">
        <is>
          <t>Equipamentos e ferramentas de uso coletivo</t>
        </is>
      </c>
      <c r="B157" s="36" t="n"/>
      <c r="C157" s="36" t="inlineStr">
        <is>
          <t>Catraca guincho portátil para 1250 kgf com cabo de aço ou corrente</t>
        </is>
      </c>
      <c r="D157" s="36" t="n"/>
      <c r="E157" s="36" t="inlineStr">
        <is>
          <t>2</t>
        </is>
      </c>
      <c r="F157" s="36" t="n"/>
      <c r="G157" s="36" t="n"/>
      <c r="H157" s="36" t="n"/>
      <c r="I157" s="36" t="n"/>
    </row>
    <row r="158" ht="66" customHeight="1">
      <c r="A158" s="36" t="inlineStr">
        <is>
          <t>Equipamentos e ferramentas de uso coletivo</t>
        </is>
      </c>
      <c r="B158" s="36" t="n"/>
      <c r="C158" s="36" t="inlineStr">
        <is>
          <t>Cavadeira articulada bater e tirar</t>
        </is>
      </c>
      <c r="D158" s="36" t="n"/>
      <c r="E158" s="36" t="inlineStr">
        <is>
          <t>2</t>
        </is>
      </c>
      <c r="F158" s="36" t="n"/>
      <c r="G158" s="36" t="n"/>
      <c r="H158" s="36" t="n"/>
      <c r="I158" s="36" t="n"/>
    </row>
    <row r="159" ht="66" customHeight="1">
      <c r="A159" s="36" t="inlineStr">
        <is>
          <t>Equipamentos e ferramentas de uso coletivo</t>
        </is>
      </c>
      <c r="B159" s="36" t="n"/>
      <c r="C159" s="36" t="inlineStr">
        <is>
          <t>Cavadeira de corte com espátula</t>
        </is>
      </c>
      <c r="D159" s="36" t="n"/>
      <c r="E159" s="36" t="inlineStr">
        <is>
          <t>1</t>
        </is>
      </c>
      <c r="F159" s="36" t="n"/>
      <c r="G159" s="36" t="n"/>
      <c r="H159" s="36" t="n"/>
      <c r="I159" s="36" t="n"/>
    </row>
    <row r="160" ht="66" customHeight="1">
      <c r="A160" s="36" t="inlineStr">
        <is>
          <t>Equipamentos e ferramentas de uso coletivo</t>
        </is>
      </c>
      <c r="B160" s="36" t="n"/>
      <c r="C160" s="36" t="inlineStr">
        <is>
          <t>Colher de pedreiro de 18 cm</t>
        </is>
      </c>
      <c r="D160" s="36" t="n"/>
      <c r="E160" s="36" t="inlineStr">
        <is>
          <t>1</t>
        </is>
      </c>
      <c r="F160" s="36" t="n"/>
      <c r="G160" s="36" t="n"/>
      <c r="H160" s="36" t="n"/>
      <c r="I160" s="36" t="n"/>
    </row>
    <row r="161" ht="66" customHeight="1">
      <c r="A161" s="36" t="inlineStr">
        <is>
          <t>Equipamentos e ferramentas de uso coletivo</t>
        </is>
      </c>
      <c r="B161" s="36" t="n"/>
      <c r="C161" s="36" t="inlineStr">
        <is>
          <t>Cone de 750 mm de altura</t>
        </is>
      </c>
      <c r="D161" s="36" t="n"/>
      <c r="E161" s="36" t="inlineStr">
        <is>
          <t>12</t>
        </is>
      </c>
      <c r="F161" s="36" t="n"/>
      <c r="G161" s="36" t="n"/>
      <c r="H161" s="36" t="n"/>
      <c r="I161" s="36" t="n"/>
    </row>
    <row r="162" ht="66" customHeight="1">
      <c r="A162" s="36" t="inlineStr">
        <is>
          <t>Equipamentos e ferramentas de uso coletivo</t>
        </is>
      </c>
      <c r="B162" s="36" t="n"/>
      <c r="C162" s="36" t="inlineStr">
        <is>
          <t>Conjunto de aterramento temporário para rede secundária isolada (atender as especificações do equipamento definidas no MIT – 161606)</t>
        </is>
      </c>
      <c r="D162" s="36" t="n"/>
      <c r="E162" s="36" t="inlineStr">
        <is>
          <t>2</t>
        </is>
      </c>
      <c r="F162" s="36" t="n"/>
      <c r="G162" s="36" t="n"/>
      <c r="H162" s="36" t="n"/>
      <c r="I162" s="36" t="n"/>
    </row>
    <row r="163" ht="66" customHeight="1">
      <c r="A163" s="36" t="inlineStr">
        <is>
          <t>Equipamentos e ferramentas de uso coletivo</t>
        </is>
      </c>
      <c r="B163" s="36" t="n"/>
      <c r="C163" s="36" t="inlineStr">
        <is>
          <t>Conjunto de segurança para trabalho em cesto aéreo</t>
        </is>
      </c>
      <c r="D163" s="36" t="inlineStr">
        <is>
          <t>1.066</t>
        </is>
      </c>
      <c r="E163" s="36" t="inlineStr">
        <is>
          <t>1</t>
        </is>
      </c>
      <c r="F163" s="36" t="n"/>
      <c r="G163" s="36" t="n"/>
      <c r="H163" s="36" t="n"/>
      <c r="I163" s="36" t="n"/>
    </row>
    <row r="164" ht="66" customHeight="1">
      <c r="A164" s="36" t="inlineStr">
        <is>
          <t>Equipamentos e ferramentas de uso coletivo</t>
        </is>
      </c>
      <c r="B164" s="36" t="n"/>
      <c r="C164" s="36" t="inlineStr">
        <is>
          <t>Conjunto de segurança para operador de motosserra - calça para operador de motosserra, Capacete de segurança (equipado com protetor auricular tipo concha e protetor facial de tela)</t>
        </is>
      </c>
      <c r="D164" s="36" t="n"/>
      <c r="E164" s="36" t="inlineStr">
        <is>
          <t>1</t>
        </is>
      </c>
      <c r="F164" s="36" t="n"/>
      <c r="G164" s="36" t="n"/>
      <c r="H164" s="36" t="n"/>
      <c r="I164" s="36" t="n"/>
    </row>
    <row r="165" ht="66" customHeight="1">
      <c r="A165" s="36" t="inlineStr">
        <is>
          <t>Equipamentos e ferramentas de uso coletivo</t>
        </is>
      </c>
      <c r="B165" s="36" t="n"/>
      <c r="C165" s="36" t="inlineStr">
        <is>
          <t>Corda em polietileno de 6mm para SINALIZAÇÃO AMARELA</t>
        </is>
      </c>
      <c r="D165" s="36" t="n"/>
      <c r="E165" s="36" t="inlineStr">
        <is>
          <t>30 m</t>
        </is>
      </c>
      <c r="F165" s="36" t="n"/>
      <c r="G165" s="36" t="n"/>
      <c r="H165" s="36" t="n"/>
      <c r="I165" s="36" t="n"/>
    </row>
    <row r="166" ht="66" customHeight="1">
      <c r="A166" s="36" t="inlineStr">
        <is>
          <t>Equipamentos e ferramentas de uso coletivo</t>
        </is>
      </c>
      <c r="B166" s="36" t="n"/>
      <c r="C166" s="36" t="inlineStr">
        <is>
          <t>Cunha de madeira para uso em rede secundária isolada – similar NTC 890181</t>
        </is>
      </c>
      <c r="D166" s="36" t="n"/>
      <c r="E166" s="36" t="inlineStr">
        <is>
          <t>3</t>
        </is>
      </c>
      <c r="F166" s="36" t="n"/>
      <c r="G166" s="36" t="n"/>
      <c r="H166" s="36" t="n"/>
      <c r="I166" s="36" t="n"/>
    </row>
    <row r="167" ht="66" customHeight="1">
      <c r="A167" s="36" t="inlineStr">
        <is>
          <t>Equipamentos e ferramentas de uso coletivo</t>
        </is>
      </c>
      <c r="B167" s="36" t="n"/>
      <c r="C167" s="36" t="inlineStr">
        <is>
          <t>Descascador de condutor XLPE 13,8kV 16mm, 35mm, 70mm, 185mm</t>
        </is>
      </c>
      <c r="D167" s="36" t="n"/>
      <c r="E167" s="36" t="inlineStr">
        <is>
          <t>1</t>
        </is>
      </c>
      <c r="F167" s="36" t="n"/>
      <c r="G167" s="36" t="n"/>
      <c r="H167" s="36" t="n"/>
      <c r="I167" s="36" t="n"/>
    </row>
    <row r="168" ht="66" customHeight="1">
      <c r="A168" s="36" t="inlineStr">
        <is>
          <t>Equipamentos e ferramentas de uso coletivo</t>
        </is>
      </c>
      <c r="B168" s="36" t="n"/>
      <c r="C168" s="36" t="inlineStr">
        <is>
          <t>Descascador de ponta de condutor XLPE 13,8kV 16mm, 35mm, 70mm, 185mm</t>
        </is>
      </c>
      <c r="D168" s="36" t="n"/>
      <c r="E168" s="36" t="inlineStr">
        <is>
          <t>1</t>
        </is>
      </c>
      <c r="F168" s="36" t="n"/>
      <c r="G168" s="36" t="n"/>
      <c r="H168" s="36" t="n"/>
      <c r="I168" s="36" t="n"/>
    </row>
    <row r="169" ht="66" customHeight="1">
      <c r="A169" s="36" t="inlineStr">
        <is>
          <t>Equipamentos e ferramentas de uso coletivo</t>
        </is>
      </c>
      <c r="B169" s="36" t="n"/>
      <c r="C169" s="36" t="inlineStr">
        <is>
          <t>Detector de BT por contato com luz e som</t>
        </is>
      </c>
      <c r="D169" s="36" t="inlineStr">
        <is>
          <t>1.034</t>
        </is>
      </c>
      <c r="E169" s="36" t="inlineStr">
        <is>
          <t>1</t>
        </is>
      </c>
      <c r="F169" s="36" t="n"/>
      <c r="G169" s="36" t="n"/>
      <c r="H169" s="36" t="inlineStr">
        <is>
          <t>EE</t>
        </is>
      </c>
      <c r="I169" s="36" t="n"/>
    </row>
    <row r="170" ht="66" customHeight="1">
      <c r="A170" s="36" t="inlineStr">
        <is>
          <t>Equipamentos e ferramentas de uso coletivo</t>
        </is>
      </c>
      <c r="B170" s="36" t="n"/>
      <c r="C170" s="36" t="inlineStr">
        <is>
          <t>Detector de MT por contato com luz e som</t>
        </is>
      </c>
      <c r="D170" s="36" t="inlineStr">
        <is>
          <t>1.034</t>
        </is>
      </c>
      <c r="E170" s="36" t="inlineStr">
        <is>
          <t>1</t>
        </is>
      </c>
      <c r="F170" s="36" t="n"/>
      <c r="G170" s="36" t="n"/>
      <c r="H170" s="36" t="inlineStr">
        <is>
          <t>EE</t>
        </is>
      </c>
      <c r="I170" s="36" t="n"/>
    </row>
    <row r="171" ht="66" customHeight="1">
      <c r="A171" s="36" t="inlineStr">
        <is>
          <t>Equipamentos e ferramentas de uso coletivo</t>
        </is>
      </c>
      <c r="B171" s="36" t="n"/>
      <c r="C171" s="36" t="inlineStr">
        <is>
          <t>Dispositivo de segurança anti queda do porta fusível - DAQC</t>
        </is>
      </c>
      <c r="D171" s="36" t="n"/>
      <c r="E171" s="36" t="inlineStr">
        <is>
          <t>1</t>
        </is>
      </c>
      <c r="F171" s="36" t="n"/>
      <c r="G171" s="36" t="n"/>
      <c r="H171" s="36" t="n"/>
      <c r="I171" s="36" t="n"/>
    </row>
    <row r="172" ht="66" customHeight="1">
      <c r="A172" s="36" t="inlineStr">
        <is>
          <t>Equipamentos e ferramentas de uso coletivo</t>
        </is>
      </c>
      <c r="B172" s="36" t="n"/>
      <c r="C172" s="36" t="inlineStr">
        <is>
          <t>Enxada com cabo, lâmina de 28 a 35mm</t>
        </is>
      </c>
      <c r="D172" s="36" t="n"/>
      <c r="E172" s="36" t="inlineStr">
        <is>
          <t>1</t>
        </is>
      </c>
      <c r="F172" s="36" t="n"/>
      <c r="G172" s="36" t="n"/>
      <c r="H172" s="36" t="n"/>
      <c r="I172" s="36" t="n"/>
    </row>
    <row r="173" ht="66" customHeight="1">
      <c r="A173" s="36" t="inlineStr">
        <is>
          <t>Equipamentos e ferramentas de uso coletivo</t>
        </is>
      </c>
      <c r="B173" s="36" t="n"/>
      <c r="C173" s="36" t="inlineStr">
        <is>
          <t>Enxadão de 1500 g</t>
        </is>
      </c>
      <c r="D173" s="36" t="n"/>
      <c r="E173" s="36" t="inlineStr">
        <is>
          <t>2</t>
        </is>
      </c>
      <c r="F173" s="36" t="n"/>
      <c r="G173" s="36" t="n"/>
      <c r="H173" s="36" t="n"/>
      <c r="I173" s="36" t="n"/>
    </row>
    <row r="174" ht="66" customHeight="1">
      <c r="A174" s="36" t="inlineStr">
        <is>
          <t>Equipamentos e ferramentas de uso coletivo</t>
        </is>
      </c>
      <c r="B174" s="36" t="n"/>
      <c r="C174" s="36" t="inlineStr">
        <is>
          <t>Escada extensível de madeira ou fibra de vidro 4,90 x 8,60 m</t>
        </is>
      </c>
      <c r="D174" s="36" t="inlineStr">
        <is>
          <t>1.029 / 1.030</t>
        </is>
      </c>
      <c r="E174" s="36" t="inlineStr">
        <is>
          <t>(2)</t>
        </is>
      </c>
      <c r="F174" s="36" t="n"/>
      <c r="G174" s="36" t="n"/>
      <c r="H174" s="36" t="n"/>
      <c r="I174" s="36" t="n"/>
    </row>
    <row r="175" ht="66" customHeight="1">
      <c r="A175" s="36" t="inlineStr">
        <is>
          <t>Equipamentos e ferramentas de uso coletivo</t>
        </is>
      </c>
      <c r="B175" s="36" t="n"/>
      <c r="C175" s="36" t="inlineStr">
        <is>
          <t>Escada singela de madeira ou fibra de vidro de 4 m</t>
        </is>
      </c>
      <c r="D175" s="36" t="n"/>
      <c r="E175" s="36" t="inlineStr">
        <is>
          <t>1</t>
        </is>
      </c>
      <c r="F175" s="36" t="n"/>
      <c r="G175" s="36" t="n"/>
      <c r="H175" s="36" t="n"/>
      <c r="I175" s="36" t="n"/>
    </row>
    <row r="176" ht="66" customHeight="1">
      <c r="A176" s="36" t="inlineStr">
        <is>
          <t>Equipamentos e ferramentas de uso coletivo</t>
        </is>
      </c>
      <c r="B176" s="36" t="n"/>
      <c r="C176" s="36" t="inlineStr">
        <is>
          <t>Esticador de cabo 4 a 3/0 AWG</t>
        </is>
      </c>
      <c r="D176" s="36" t="n"/>
      <c r="E176" s="36" t="inlineStr">
        <is>
          <t>2</t>
        </is>
      </c>
      <c r="F176" s="36" t="n"/>
      <c r="G176" s="36" t="n"/>
      <c r="H176" s="36" t="n"/>
      <c r="I176" s="36" t="n"/>
    </row>
    <row r="177" ht="66" customHeight="1">
      <c r="A177" s="36" t="inlineStr">
        <is>
          <t>Equipamentos e ferramentas de uso coletivo</t>
        </is>
      </c>
      <c r="B177" s="36" t="n"/>
      <c r="C177" s="36" t="inlineStr">
        <is>
          <t>Esticador de cabo 4/0 a 477 MCM</t>
        </is>
      </c>
      <c r="D177" s="36" t="n"/>
      <c r="E177" s="36" t="inlineStr">
        <is>
          <t>2</t>
        </is>
      </c>
      <c r="F177" s="36" t="n"/>
      <c r="G177" s="36" t="n"/>
      <c r="H177" s="36" t="n"/>
      <c r="I177" s="36" t="n"/>
    </row>
    <row r="178" ht="66" customHeight="1">
      <c r="A178" s="36" t="inlineStr">
        <is>
          <t>Equipamentos e ferramentas de uso coletivo</t>
        </is>
      </c>
      <c r="B178" s="36" t="n"/>
      <c r="C178" s="36" t="inlineStr">
        <is>
          <t>Esticador de cordoalha de aço de 6 a 9 mm</t>
        </is>
      </c>
      <c r="D178" s="36" t="n"/>
      <c r="E178" s="36" t="inlineStr">
        <is>
          <t>2</t>
        </is>
      </c>
      <c r="F178" s="36" t="n"/>
      <c r="G178" s="36" t="n"/>
      <c r="H178" s="36" t="n"/>
      <c r="I178" s="36" t="n"/>
    </row>
    <row r="179" ht="66" customHeight="1">
      <c r="A179" s="36" t="inlineStr">
        <is>
          <t>Equipamentos e ferramentas de uso coletivo</t>
        </is>
      </c>
      <c r="B179" s="36" t="n"/>
      <c r="C179" s="36" t="inlineStr">
        <is>
          <t>Estojo de primeiros socorros</t>
        </is>
      </c>
      <c r="D179" s="36" t="n"/>
      <c r="E179" s="36" t="inlineStr">
        <is>
          <t>1</t>
        </is>
      </c>
      <c r="F179" s="36" t="n"/>
      <c r="G179" s="36" t="n"/>
      <c r="H179" s="36" t="n"/>
      <c r="I179" s="36" t="n"/>
    </row>
    <row r="180" ht="66" customHeight="1">
      <c r="A180" s="36" t="inlineStr">
        <is>
          <t>Equipamentos e ferramentas de uso coletivo</t>
        </is>
      </c>
      <c r="B180" s="36" t="n"/>
      <c r="C180" s="36" t="inlineStr">
        <is>
          <t>Facão com lâmina de 460 mm e bainha</t>
        </is>
      </c>
      <c r="D180" s="36" t="n"/>
      <c r="E180" s="36" t="inlineStr">
        <is>
          <t>1</t>
        </is>
      </c>
      <c r="F180" s="36" t="n"/>
      <c r="G180" s="36" t="n"/>
      <c r="H180" s="36" t="n"/>
      <c r="I180" s="36" t="n"/>
    </row>
    <row r="181" ht="66" customHeight="1">
      <c r="A181" s="36" t="inlineStr">
        <is>
          <t>Equipamentos e ferramentas de uso coletivo</t>
        </is>
      </c>
      <c r="B181" s="36" t="n"/>
      <c r="C181" s="36" t="inlineStr">
        <is>
          <t>Farol portátil 12 V com 20 m de fio</t>
        </is>
      </c>
      <c r="D181" s="36" t="n"/>
      <c r="E181" s="36" t="inlineStr">
        <is>
          <t>1</t>
        </is>
      </c>
      <c r="F181" s="36" t="n"/>
      <c r="G181" s="36" t="n"/>
      <c r="H181" s="36" t="n"/>
      <c r="I181" s="36" t="n"/>
    </row>
    <row r="182" ht="66" customHeight="1">
      <c r="A182" s="36" t="inlineStr">
        <is>
          <t>Equipamentos e ferramentas de uso coletivo</t>
        </is>
      </c>
      <c r="B182" s="36" t="n"/>
      <c r="C182" s="36" t="inlineStr">
        <is>
          <t>Foice com cabo de 900 mm</t>
        </is>
      </c>
      <c r="D182" s="36" t="n"/>
      <c r="E182" s="36" t="inlineStr">
        <is>
          <t>3</t>
        </is>
      </c>
      <c r="F182" s="36" t="n"/>
      <c r="G182" s="36" t="n"/>
      <c r="H182" s="36" t="n"/>
      <c r="I182" s="36" t="n"/>
    </row>
    <row r="183" ht="66" customHeight="1">
      <c r="A183" s="36" t="inlineStr">
        <is>
          <t>Equipamentos e ferramentas de uso coletivo</t>
        </is>
      </c>
      <c r="B183" s="36" t="n"/>
      <c r="C183" s="36" t="inlineStr">
        <is>
          <t>Içador para poste Duplo T 2000KG “GATO” - NTC890740</t>
        </is>
      </c>
      <c r="D183" s="36" t="n"/>
      <c r="E183" s="36" t="inlineStr">
        <is>
          <t>1</t>
        </is>
      </c>
      <c r="F183" s="36" t="n"/>
      <c r="G183" s="36" t="n"/>
      <c r="H183" s="36" t="n"/>
      <c r="I183" s="36" t="n"/>
    </row>
    <row r="184" ht="66" customHeight="1">
      <c r="A184" s="36" t="inlineStr">
        <is>
          <t>Equipamentos e ferramentas de uso coletivo</t>
        </is>
      </c>
      <c r="B184" s="36" t="n"/>
      <c r="C184" s="36" t="inlineStr">
        <is>
          <t>Interruptor de carga 13,8 kV – 600 A</t>
        </is>
      </c>
      <c r="D184" s="36" t="n"/>
      <c r="E184" s="36" t="inlineStr">
        <is>
          <t>1</t>
        </is>
      </c>
      <c r="F184" s="36" t="n"/>
      <c r="G184" s="36" t="n"/>
      <c r="H184" s="36" t="n"/>
      <c r="I184" s="36" t="n"/>
    </row>
    <row r="185" ht="66" customHeight="1">
      <c r="A185" s="36" t="inlineStr">
        <is>
          <t>Equipamentos e ferramentas de uso coletivo</t>
        </is>
      </c>
      <c r="B185" s="36" t="n"/>
      <c r="C185" s="36" t="inlineStr">
        <is>
          <t>Interruptor de carga 34,5 kV – 600 A</t>
        </is>
      </c>
      <c r="D185" s="36" t="n"/>
      <c r="E185" s="36" t="inlineStr">
        <is>
          <t>1</t>
        </is>
      </c>
      <c r="F185" s="36" t="n"/>
      <c r="G185" s="36" t="n"/>
      <c r="H185" s="36" t="n"/>
      <c r="I185" s="36" t="n"/>
    </row>
    <row r="186" ht="66" customHeight="1">
      <c r="A186" s="36" t="inlineStr">
        <is>
          <t>Equipamentos e ferramentas de uso coletivo</t>
        </is>
      </c>
      <c r="B186" s="36" t="n"/>
      <c r="C186" s="36" t="inlineStr">
        <is>
          <t>Jogo de gabarito de zinco pintura de letra e número de 50 mm</t>
        </is>
      </c>
      <c r="D186" s="36" t="n"/>
      <c r="E186" s="36" t="inlineStr">
        <is>
          <t>1</t>
        </is>
      </c>
      <c r="F186" s="36" t="n"/>
      <c r="G186" s="36" t="n"/>
      <c r="H186" s="36" t="n"/>
      <c r="I186" s="36" t="n"/>
    </row>
    <row r="187" ht="66" customHeight="1">
      <c r="A187" s="36" t="inlineStr">
        <is>
          <t>Equipamentos e ferramentas de uso coletivo</t>
        </is>
      </c>
      <c r="B187" s="36" t="n"/>
      <c r="C187" s="36" t="inlineStr">
        <is>
          <t>Kit de ferramenta para instalação do conector tipo cunha</t>
        </is>
      </c>
      <c r="D187" s="36" t="n"/>
      <c r="E187" s="36" t="inlineStr">
        <is>
          <t>1</t>
        </is>
      </c>
      <c r="F187" s="36" t="n"/>
      <c r="G187" s="36" t="n"/>
      <c r="H187" s="36" t="n"/>
      <c r="I187" s="36" t="n"/>
    </row>
    <row r="188" ht="66" customHeight="1">
      <c r="A188" s="36" t="inlineStr">
        <is>
          <t>Equipamentos e ferramentas de uso coletivo</t>
        </is>
      </c>
      <c r="B188" s="36" t="n"/>
      <c r="C188" s="36" t="inlineStr">
        <is>
          <t>Kit para salvamento/resgate em altura</t>
        </is>
      </c>
      <c r="D188" s="36" t="inlineStr">
        <is>
          <t>1.090</t>
        </is>
      </c>
      <c r="E188" s="36" t="inlineStr">
        <is>
          <t>1</t>
        </is>
      </c>
      <c r="F188" s="36" t="n"/>
      <c r="G188" s="36" t="n"/>
      <c r="H188" s="36" t="n"/>
      <c r="I188" s="36" t="n"/>
    </row>
    <row r="189" ht="66" customHeight="1">
      <c r="A189" s="36" t="inlineStr">
        <is>
          <t>Equipamentos e ferramentas de uso coletivo</t>
        </is>
      </c>
      <c r="B189" s="36" t="n"/>
      <c r="C189" s="36" t="inlineStr">
        <is>
          <t>Lanterna elétrica manual</t>
        </is>
      </c>
      <c r="D189" s="36" t="n"/>
      <c r="E189" s="36" t="inlineStr">
        <is>
          <t>1</t>
        </is>
      </c>
      <c r="F189" s="36" t="n"/>
      <c r="G189" s="36" t="n"/>
      <c r="H189" s="36" t="n"/>
      <c r="I189" s="36" t="n"/>
    </row>
    <row r="190" ht="66" customHeight="1">
      <c r="A190" s="36" t="inlineStr">
        <is>
          <t>Equipamentos e ferramentas de uso coletivo</t>
        </is>
      </c>
      <c r="B190" s="36" t="n"/>
      <c r="C190" s="36" t="inlineStr">
        <is>
          <t>Lanterna para capacete</t>
        </is>
      </c>
      <c r="D190" s="36" t="n"/>
      <c r="E190" s="36" t="inlineStr">
        <is>
          <t>3</t>
        </is>
      </c>
      <c r="F190" s="36" t="n"/>
      <c r="G190" s="36" t="n"/>
      <c r="H190" s="36" t="n"/>
      <c r="I190" s="36" t="n"/>
    </row>
    <row r="191" ht="66" customHeight="1">
      <c r="A191" s="36" t="inlineStr">
        <is>
          <t>Equipamentos e ferramentas de uso coletivo</t>
        </is>
      </c>
      <c r="B191" s="36" t="n"/>
      <c r="C191" s="36" t="inlineStr">
        <is>
          <t>Lençol isolante para BT com bolsa de lona</t>
        </is>
      </c>
      <c r="D191" s="36" t="n"/>
      <c r="E191" s="36" t="inlineStr">
        <is>
          <t>4</t>
        </is>
      </c>
      <c r="F191" s="36" t="n"/>
      <c r="G191" s="36" t="n"/>
      <c r="H191" s="36" t="n"/>
      <c r="I191" s="36" t="n"/>
    </row>
    <row r="192" ht="66" customHeight="1">
      <c r="A192" s="36" t="inlineStr">
        <is>
          <t>Equipamentos e ferramentas de uso coletivo</t>
        </is>
      </c>
      <c r="B192" s="36" t="n"/>
      <c r="C192" s="36" t="inlineStr">
        <is>
          <t>Lima chata tipo murça de 203 mm</t>
        </is>
      </c>
      <c r="D192" s="36" t="n"/>
      <c r="E192" s="36" t="inlineStr">
        <is>
          <t>1</t>
        </is>
      </c>
      <c r="F192" s="36" t="n"/>
      <c r="G192" s="36" t="n"/>
      <c r="H192" s="36" t="n"/>
      <c r="I192" s="36" t="n"/>
    </row>
    <row r="193" ht="66" customHeight="1">
      <c r="A193" s="36" t="inlineStr">
        <is>
          <t>Equipamentos e ferramentas de uso coletivo</t>
        </is>
      </c>
      <c r="B193" s="36" t="n"/>
      <c r="C193" s="36" t="inlineStr">
        <is>
          <t>Linga de poliéster, 1200mm de comprimento</t>
        </is>
      </c>
      <c r="D193" s="36" t="n"/>
      <c r="E193" s="36" t="inlineStr">
        <is>
          <t>1</t>
        </is>
      </c>
      <c r="F193" s="36" t="n"/>
      <c r="G193" s="36" t="n"/>
      <c r="H193" s="36" t="n"/>
      <c r="I193" s="36" t="n"/>
    </row>
    <row r="194" ht="66" customHeight="1">
      <c r="A194" s="36" t="inlineStr">
        <is>
          <t>Equipamentos e ferramentas de uso coletivo</t>
        </is>
      </c>
      <c r="B194" s="36" t="n"/>
      <c r="C194" s="36" t="inlineStr">
        <is>
          <t>Linga de poliéster, 600mm de comprimento</t>
        </is>
      </c>
      <c r="D194" s="36" t="n"/>
      <c r="E194" s="36" t="inlineStr">
        <is>
          <t>2</t>
        </is>
      </c>
      <c r="F194" s="36" t="n"/>
      <c r="G194" s="36" t="n"/>
      <c r="H194" s="36" t="n"/>
      <c r="I194" s="36" t="n"/>
    </row>
    <row r="195" ht="66" customHeight="1">
      <c r="A195" s="36" t="inlineStr">
        <is>
          <t>Equipamentos e ferramentas de uso coletivo</t>
        </is>
      </c>
      <c r="B195" s="36" t="n"/>
      <c r="C195" s="36" t="inlineStr">
        <is>
          <t>Linga de poliéster, 800mm de comprimento</t>
        </is>
      </c>
      <c r="D195" s="36" t="n"/>
      <c r="E195" s="36" t="inlineStr">
        <is>
          <t>2</t>
        </is>
      </c>
      <c r="F195" s="36" t="n"/>
      <c r="G195" s="36" t="n"/>
      <c r="H195" s="36" t="n"/>
      <c r="I195" s="36" t="n"/>
    </row>
    <row r="196" ht="66" customHeight="1">
      <c r="A196" s="36" t="inlineStr">
        <is>
          <t>Equipamentos e ferramentas de uso coletivo</t>
        </is>
      </c>
      <c r="B196" s="36" t="n"/>
      <c r="C196" s="36" t="inlineStr">
        <is>
          <t>Luva para cravar haste B-137-14</t>
        </is>
      </c>
      <c r="D196" s="36" t="n"/>
      <c r="E196" s="36" t="inlineStr">
        <is>
          <t>1</t>
        </is>
      </c>
      <c r="F196" s="36" t="n"/>
      <c r="G196" s="36" t="n"/>
      <c r="H196" s="36" t="n"/>
      <c r="I196" s="36" t="n"/>
    </row>
    <row r="197" ht="66" customHeight="1">
      <c r="A197" s="36" t="inlineStr">
        <is>
          <t>Equipamentos e ferramentas de uso coletivo</t>
        </is>
      </c>
      <c r="B197" s="36" t="n"/>
      <c r="C197" s="36" t="inlineStr">
        <is>
          <t>Machado de 500 g com cabo</t>
        </is>
      </c>
      <c r="D197" s="36" t="n"/>
      <c r="E197" s="36" t="inlineStr">
        <is>
          <t>1</t>
        </is>
      </c>
      <c r="F197" s="36" t="n"/>
      <c r="G197" s="36" t="n"/>
      <c r="H197" s="36" t="n"/>
      <c r="I197" s="36" t="n"/>
    </row>
    <row r="198" ht="66" customHeight="1">
      <c r="A198" s="36" t="inlineStr">
        <is>
          <t>Equipamentos e ferramentas de uso coletivo</t>
        </is>
      </c>
      <c r="B198" s="36" t="inlineStr">
        <is>
          <t>Conjunto de matrizes</t>
        </is>
      </c>
      <c r="C198" s="36" t="inlineStr">
        <is>
          <t>Matriz compressão hidráulica de 12 t – índice 163A (RDU) - Sextavada</t>
        </is>
      </c>
      <c r="D198" s="36" t="n"/>
      <c r="E198" s="36" t="inlineStr">
        <is>
          <t>1</t>
        </is>
      </c>
      <c r="F198" s="36" t="n"/>
      <c r="G198" s="36" t="n"/>
      <c r="H198" s="36" t="n"/>
      <c r="I198" s="36" t="n"/>
    </row>
    <row r="199" ht="66" customHeight="1">
      <c r="A199" s="36" t="inlineStr">
        <is>
          <t>Equipamentos e ferramentas de uso coletivo</t>
        </is>
      </c>
      <c r="B199" s="36" t="inlineStr">
        <is>
          <t>Conjunto de matrizes</t>
        </is>
      </c>
      <c r="C199" s="36" t="inlineStr">
        <is>
          <t>Matriz compressão hidráulica de 12 t – índice 169 (Litoral)</t>
        </is>
      </c>
      <c r="D199" s="36" t="n"/>
      <c r="E199" s="36" t="inlineStr">
        <is>
          <t>1</t>
        </is>
      </c>
      <c r="F199" s="36" t="n"/>
      <c r="G199" s="36" t="n"/>
      <c r="H199" s="36" t="n"/>
      <c r="I199" s="36" t="n"/>
    </row>
    <row r="200" ht="66" customHeight="1">
      <c r="A200" s="36" t="inlineStr">
        <is>
          <t>Equipamentos e ferramentas de uso coletivo</t>
        </is>
      </c>
      <c r="B200" s="36" t="inlineStr">
        <is>
          <t>Conjunto de matrizes</t>
        </is>
      </c>
      <c r="C200" s="36" t="inlineStr">
        <is>
          <t>Matriz c. hidráulica 12 t - índice 242 (uso RDR) SEXTAVADA</t>
        </is>
      </c>
      <c r="D200" s="36" t="n"/>
      <c r="E200" s="36" t="inlineStr">
        <is>
          <t>1</t>
        </is>
      </c>
      <c r="F200" s="36" t="n"/>
      <c r="G200" s="36" t="n"/>
      <c r="H200" s="36" t="n"/>
      <c r="I200" s="36" t="n"/>
    </row>
    <row r="201" ht="66" customHeight="1">
      <c r="A201" s="36" t="inlineStr">
        <is>
          <t>Equipamentos e ferramentas de uso coletivo</t>
        </is>
      </c>
      <c r="B201" s="36" t="inlineStr">
        <is>
          <t>Conjunto de matrizes</t>
        </is>
      </c>
      <c r="C201" s="36" t="inlineStr">
        <is>
          <t>Matriz compressão hidráulica de 12 t – índice 245A (RDU) – Sextavada</t>
        </is>
      </c>
      <c r="D201" s="36" t="n"/>
      <c r="E201" s="36" t="inlineStr">
        <is>
          <t>1</t>
        </is>
      </c>
      <c r="F201" s="36" t="n"/>
      <c r="G201" s="36" t="n"/>
      <c r="H201" s="36" t="n"/>
      <c r="I201" s="36" t="n"/>
    </row>
    <row r="202" ht="66" customHeight="1">
      <c r="A202" s="36" t="inlineStr">
        <is>
          <t>Equipamentos e ferramentas de uso coletivo</t>
        </is>
      </c>
      <c r="B202" s="36" t="inlineStr">
        <is>
          <t>Conjunto de matrizes</t>
        </is>
      </c>
      <c r="C202" s="36" t="inlineStr">
        <is>
          <t>Matriz c. hidráulica 12 t - índice 248 (uso RDR)</t>
        </is>
      </c>
      <c r="D202" s="36" t="n"/>
      <c r="E202" s="36" t="inlineStr">
        <is>
          <t>1</t>
        </is>
      </c>
      <c r="F202" s="36" t="n"/>
      <c r="G202" s="36" t="n"/>
      <c r="H202" s="36" t="n"/>
      <c r="I202" s="36" t="n"/>
    </row>
    <row r="203" ht="66" customHeight="1">
      <c r="A203" s="36" t="inlineStr">
        <is>
          <t>Equipamentos e ferramentas de uso coletivo</t>
        </is>
      </c>
      <c r="B203" s="36" t="inlineStr">
        <is>
          <t>Conjunto de matrizes</t>
        </is>
      </c>
      <c r="C203" s="36" t="inlineStr">
        <is>
          <t>Matriz compressão hidráulica de 12 t – índice 249A (RDU, RDR e Litoral) – Sextavada</t>
        </is>
      </c>
      <c r="D203" s="36" t="n"/>
      <c r="E203" s="36" t="inlineStr">
        <is>
          <t>1</t>
        </is>
      </c>
      <c r="F203" s="36" t="n"/>
      <c r="G203" s="36" t="n"/>
      <c r="H203" s="36" t="n"/>
      <c r="I203" s="36" t="n"/>
    </row>
    <row r="204" ht="66" customHeight="1">
      <c r="A204" s="36" t="inlineStr">
        <is>
          <t>Equipamentos e ferramentas de uso coletivo</t>
        </is>
      </c>
      <c r="B204" s="36" t="inlineStr">
        <is>
          <t>Conjunto de matrizes</t>
        </is>
      </c>
      <c r="C204" s="36" t="inlineStr">
        <is>
          <t>Matriz compressão hidráulica de 12 t – índice 317 (RDU)</t>
        </is>
      </c>
      <c r="D204" s="36" t="n"/>
      <c r="E204" s="36" t="inlineStr">
        <is>
          <t>1</t>
        </is>
      </c>
      <c r="F204" s="36" t="n"/>
      <c r="G204" s="36" t="n"/>
      <c r="H204" s="36" t="n"/>
      <c r="I204" s="36" t="n"/>
    </row>
    <row r="205" ht="66" customHeight="1">
      <c r="A205" s="36" t="inlineStr">
        <is>
          <t>Equipamentos e ferramentas de uso coletivo</t>
        </is>
      </c>
      <c r="B205" s="36" t="inlineStr">
        <is>
          <t>Conjunto de matrizes</t>
        </is>
      </c>
      <c r="C205" s="36" t="inlineStr">
        <is>
          <t>Matriz compressão hidráulica de 12 t – índice 321A (RDU) - Sextavada</t>
        </is>
      </c>
      <c r="D205" s="36" t="n"/>
      <c r="E205" s="36" t="inlineStr">
        <is>
          <t>1</t>
        </is>
      </c>
      <c r="F205" s="36" t="n"/>
      <c r="G205" s="36" t="n"/>
      <c r="H205" s="36" t="n"/>
      <c r="I205" s="36" t="n"/>
    </row>
    <row r="206" ht="66" customHeight="1">
      <c r="A206" s="36" t="inlineStr">
        <is>
          <t>Equipamentos e ferramentas de uso coletivo</t>
        </is>
      </c>
      <c r="B206" s="36" t="inlineStr">
        <is>
          <t>Conjunto de matrizes</t>
        </is>
      </c>
      <c r="C206" s="36" t="inlineStr">
        <is>
          <t>Matriz compressão mecânica de 4 t – índice 161 (Litoral)</t>
        </is>
      </c>
      <c r="D206" s="36" t="n"/>
      <c r="E206" s="36" t="inlineStr">
        <is>
          <t>1</t>
        </is>
      </c>
      <c r="F206" s="36" t="n"/>
      <c r="G206" s="36" t="n"/>
      <c r="H206" s="36" t="n"/>
      <c r="I206" s="36" t="n"/>
    </row>
    <row r="207" ht="66" customHeight="1">
      <c r="A207" s="36" t="inlineStr">
        <is>
          <t>Equipamentos e ferramentas de uso coletivo</t>
        </is>
      </c>
      <c r="B207" s="36" t="inlineStr">
        <is>
          <t>Conjunto de matrizes</t>
        </is>
      </c>
      <c r="C207" s="36" t="inlineStr">
        <is>
          <t>Matriz compressão mecânica de 4 t – índice 162 (RDU e RDR)</t>
        </is>
      </c>
      <c r="D207" s="36" t="n"/>
      <c r="E207" s="36" t="inlineStr">
        <is>
          <t>1</t>
        </is>
      </c>
      <c r="F207" s="36" t="n"/>
      <c r="G207" s="36" t="n"/>
      <c r="H207" s="36" t="n"/>
      <c r="I207" s="36" t="n"/>
    </row>
    <row r="208" ht="66" customHeight="1">
      <c r="A208" s="36" t="inlineStr">
        <is>
          <t>Equipamentos e ferramentas de uso coletivo</t>
        </is>
      </c>
      <c r="B208" s="36" t="inlineStr">
        <is>
          <t>Conjunto de matrizes</t>
        </is>
      </c>
      <c r="C208" s="36" t="inlineStr">
        <is>
          <t>Matriz compressão mecânica de 4 t – índice 163 (RDU, RDR e Litoral</t>
        </is>
      </c>
      <c r="D208" s="36" t="n"/>
      <c r="E208" s="36" t="inlineStr">
        <is>
          <t>1</t>
        </is>
      </c>
      <c r="F208" s="36" t="n"/>
      <c r="G208" s="36" t="n"/>
      <c r="H208" s="36" t="n"/>
      <c r="I208" s="36" t="n"/>
    </row>
    <row r="209" ht="66" customHeight="1">
      <c r="A209" s="36" t="inlineStr">
        <is>
          <t>Equipamentos e ferramentas de uso coletivo</t>
        </is>
      </c>
      <c r="B209" s="36" t="inlineStr">
        <is>
          <t>Conjunto de matrizes</t>
        </is>
      </c>
      <c r="C209" s="36" t="inlineStr">
        <is>
          <t>Matriz compressão mecânica de 4 t – índice 165 (Litoral)</t>
        </is>
      </c>
      <c r="D209" s="36" t="n"/>
      <c r="E209" s="36" t="inlineStr">
        <is>
          <t>1</t>
        </is>
      </c>
      <c r="F209" s="36" t="n"/>
      <c r="G209" s="36" t="n"/>
      <c r="H209" s="36" t="n"/>
      <c r="I209" s="36" t="n"/>
    </row>
    <row r="210" ht="66" customHeight="1">
      <c r="A210" s="36" t="inlineStr">
        <is>
          <t>Equipamentos e ferramentas de uso coletivo</t>
        </is>
      </c>
      <c r="B210" s="36" t="inlineStr">
        <is>
          <t>Conjunto de matrizes</t>
        </is>
      </c>
      <c r="C210" s="36" t="inlineStr">
        <is>
          <t>Matriz compressão mecânica de 4 t – índice 236 (RDR)</t>
        </is>
      </c>
      <c r="D210" s="36" t="n"/>
      <c r="E210" s="36" t="inlineStr">
        <is>
          <t>1</t>
        </is>
      </c>
      <c r="F210" s="36" t="n"/>
      <c r="G210" s="36" t="n"/>
      <c r="H210" s="36" t="n"/>
      <c r="I210" s="36" t="n"/>
    </row>
    <row r="211" ht="66" customHeight="1">
      <c r="A211" s="36" t="inlineStr">
        <is>
          <t>Equipamentos e ferramentas de uso coletivo</t>
        </is>
      </c>
      <c r="B211" s="36" t="inlineStr">
        <is>
          <t>Conjunto de matrizes</t>
        </is>
      </c>
      <c r="C211" s="36" t="inlineStr">
        <is>
          <t>Matriz compressão mecânica de 4 t – índice 237 (RDR e Litoral)</t>
        </is>
      </c>
      <c r="D211" s="36" t="n"/>
      <c r="E211" s="36" t="inlineStr">
        <is>
          <t>1</t>
        </is>
      </c>
      <c r="F211" s="36" t="n"/>
      <c r="G211" s="36" t="n"/>
      <c r="H211" s="36" t="n"/>
      <c r="I211" s="36" t="n"/>
    </row>
    <row r="212" ht="66" customHeight="1">
      <c r="A212" s="36" t="inlineStr">
        <is>
          <t>Equipamentos e ferramentas de uso coletivo</t>
        </is>
      </c>
      <c r="B212" s="36" t="inlineStr">
        <is>
          <t>Conjunto de matrizes</t>
        </is>
      </c>
      <c r="C212" s="36" t="inlineStr">
        <is>
          <t>Matriz compressão mecânica de 4 t – índice 239 (Litoral)</t>
        </is>
      </c>
      <c r="D212" s="36" t="n"/>
      <c r="E212" s="36" t="inlineStr">
        <is>
          <t>1</t>
        </is>
      </c>
      <c r="F212" s="36" t="n"/>
      <c r="G212" s="36" t="n"/>
      <c r="H212" s="36" t="n"/>
      <c r="I212" s="36" t="n"/>
    </row>
    <row r="213" ht="66" customHeight="1">
      <c r="A213" s="36" t="inlineStr">
        <is>
          <t>Equipamentos e ferramentas de uso coletivo</t>
        </is>
      </c>
      <c r="B213" s="36" t="inlineStr">
        <is>
          <t>Conjunto de matrizes</t>
        </is>
      </c>
      <c r="C213" s="36" t="inlineStr">
        <is>
          <t>Matriz compressão mecânica de 4 t – índice 242</t>
        </is>
      </c>
      <c r="D213" s="36" t="n"/>
      <c r="E213" s="36" t="inlineStr">
        <is>
          <t>1</t>
        </is>
      </c>
      <c r="F213" s="36" t="n"/>
      <c r="G213" s="36" t="n"/>
      <c r="H213" s="36" t="n"/>
      <c r="I213" s="36" t="n"/>
    </row>
    <row r="214" ht="66" customHeight="1">
      <c r="A214" s="36" t="inlineStr">
        <is>
          <t>Equipamentos e ferramentas de uso coletivo</t>
        </is>
      </c>
      <c r="B214" s="36" t="inlineStr">
        <is>
          <t>Conjunto de matrizes</t>
        </is>
      </c>
      <c r="C214" s="36" t="inlineStr">
        <is>
          <t>Matriz compressão mecânica de 4 t – índice 243 (RDU e RDR)</t>
        </is>
      </c>
      <c r="D214" s="36" t="n"/>
      <c r="E214" s="36" t="inlineStr">
        <is>
          <t>1</t>
        </is>
      </c>
      <c r="F214" s="36" t="n"/>
      <c r="G214" s="36" t="n"/>
      <c r="H214" s="36" t="n"/>
      <c r="I214" s="36" t="n"/>
    </row>
    <row r="215" ht="66" customHeight="1">
      <c r="A215" s="36" t="inlineStr">
        <is>
          <t>Equipamentos e ferramentas de uso coletivo</t>
        </is>
      </c>
      <c r="B215" s="36" t="inlineStr">
        <is>
          <t>Conjunto de matrizes</t>
        </is>
      </c>
      <c r="C215" s="36" t="inlineStr">
        <is>
          <t>Matriz compressão mecânica de 4 t – índice 245</t>
        </is>
      </c>
      <c r="D215" s="36" t="n"/>
      <c r="E215" s="36" t="inlineStr">
        <is>
          <t>1</t>
        </is>
      </c>
      <c r="F215" s="36" t="n"/>
      <c r="G215" s="36" t="n"/>
      <c r="H215" s="36" t="n"/>
      <c r="I215" s="36" t="n"/>
    </row>
    <row r="216" ht="66" customHeight="1">
      <c r="A216" s="36" t="inlineStr">
        <is>
          <t>Equipamentos e ferramentas de uso coletivo</t>
        </is>
      </c>
      <c r="B216" s="36" t="inlineStr">
        <is>
          <t>Conjunto de matrizes</t>
        </is>
      </c>
      <c r="C216" s="36" t="inlineStr">
        <is>
          <t>Matriz compressão mecânica de 4 t – índice 248</t>
        </is>
      </c>
      <c r="D216" s="36" t="n"/>
      <c r="E216" s="36" t="inlineStr">
        <is>
          <t>1</t>
        </is>
      </c>
      <c r="F216" s="36" t="n"/>
      <c r="G216" s="36" t="n"/>
      <c r="H216" s="36" t="n"/>
      <c r="I216" s="36" t="n"/>
    </row>
    <row r="217" ht="66" customHeight="1">
      <c r="A217" s="36" t="inlineStr">
        <is>
          <t>Equipamentos e ferramentas de uso coletivo</t>
        </is>
      </c>
      <c r="B217" s="36" t="inlineStr">
        <is>
          <t>Conjunto de matrizes</t>
        </is>
      </c>
      <c r="C217" s="36" t="inlineStr">
        <is>
          <t>Matriz compressão mecânica de 4 t – índice 249</t>
        </is>
      </c>
      <c r="D217" s="36" t="n"/>
      <c r="E217" s="36" t="inlineStr">
        <is>
          <t>1</t>
        </is>
      </c>
      <c r="F217" s="36" t="n"/>
      <c r="G217" s="36" t="n"/>
      <c r="H217" s="36" t="n"/>
      <c r="I217" s="36" t="n"/>
    </row>
    <row r="218" ht="66" customHeight="1">
      <c r="A218" s="36" t="inlineStr">
        <is>
          <t>Equipamentos e ferramentas de uso coletivo</t>
        </is>
      </c>
      <c r="B218" s="36" t="n"/>
      <c r="C218" s="36" t="inlineStr">
        <is>
          <t>Medidor de resistência de terra com acessórios</t>
        </is>
      </c>
      <c r="D218" s="36" t="n"/>
      <c r="E218" s="36" t="inlineStr">
        <is>
          <t>1*</t>
        </is>
      </c>
      <c r="F218" s="36" t="n"/>
      <c r="G218" s="36" t="n"/>
      <c r="H218" s="36" t="inlineStr">
        <is>
          <t>EC</t>
        </is>
      </c>
      <c r="I218" s="36" t="n"/>
    </row>
    <row r="219" ht="66" customHeight="1">
      <c r="A219" s="36" t="inlineStr">
        <is>
          <t>Equipamentos e ferramentas de uso coletivo</t>
        </is>
      </c>
      <c r="B219" s="36" t="n"/>
      <c r="C219" s="36" t="inlineStr">
        <is>
          <t>Moitão triplo para 1000 kgf com 60m de corda de polipropileno de 1/2”</t>
        </is>
      </c>
      <c r="D219" s="36" t="n"/>
      <c r="E219" s="36" t="inlineStr">
        <is>
          <t>2</t>
        </is>
      </c>
      <c r="F219" s="36" t="n"/>
      <c r="G219" s="36" t="n"/>
      <c r="H219" s="36" t="n"/>
      <c r="I219" s="36" t="n"/>
    </row>
    <row r="220" ht="66" customHeight="1">
      <c r="A220" s="36" t="inlineStr">
        <is>
          <t>Equipamentos e ferramentas de uso coletivo</t>
        </is>
      </c>
      <c r="B220" s="36" t="n"/>
      <c r="C220" s="36" t="inlineStr">
        <is>
          <t>Motosserra 1,5 HP</t>
        </is>
      </c>
      <c r="D220" s="36" t="n"/>
      <c r="E220" s="36" t="inlineStr">
        <is>
          <t>1</t>
        </is>
      </c>
      <c r="F220" s="36" t="n"/>
      <c r="G220" s="36" t="n"/>
      <c r="H220" s="36" t="n"/>
      <c r="I220" s="36" t="n"/>
    </row>
    <row r="221" ht="66" customHeight="1">
      <c r="A221" s="36" t="inlineStr">
        <is>
          <t>Equipamentos e ferramentas de uso coletivo</t>
        </is>
      </c>
      <c r="B221" s="36" t="n"/>
      <c r="C221" s="36" t="inlineStr">
        <is>
          <t>Pá com cabo</t>
        </is>
      </c>
      <c r="D221" s="36" t="n"/>
      <c r="E221" s="36" t="inlineStr">
        <is>
          <t>1</t>
        </is>
      </c>
      <c r="F221" s="36" t="n"/>
      <c r="G221" s="36" t="n"/>
      <c r="H221" s="36" t="n"/>
      <c r="I221" s="36" t="n"/>
    </row>
    <row r="222" ht="66" customHeight="1">
      <c r="A222" s="36" t="inlineStr">
        <is>
          <t>Equipamentos e ferramentas de uso coletivo</t>
        </is>
      </c>
      <c r="B222" s="36" t="n"/>
      <c r="C222" s="36" t="inlineStr">
        <is>
          <t>Picareta</t>
        </is>
      </c>
      <c r="D222" s="36" t="n"/>
      <c r="E222" s="36" t="inlineStr">
        <is>
          <t>1</t>
        </is>
      </c>
      <c r="F222" s="36" t="n"/>
      <c r="G222" s="36" t="n"/>
      <c r="H222" s="36" t="n"/>
      <c r="I222" s="36" t="n"/>
    </row>
    <row r="223" ht="66" customHeight="1">
      <c r="A223" s="36" t="inlineStr">
        <is>
          <t>Equipamentos e ferramentas de uso coletivo</t>
        </is>
      </c>
      <c r="B223" s="36" t="n"/>
      <c r="C223" s="36" t="inlineStr">
        <is>
          <t>Pincel para pintura</t>
        </is>
      </c>
      <c r="D223" s="36" t="n"/>
      <c r="E223" s="36" t="inlineStr">
        <is>
          <t>1</t>
        </is>
      </c>
      <c r="F223" s="36" t="n"/>
      <c r="G223" s="36" t="n"/>
      <c r="H223" s="36" t="n"/>
      <c r="I223" s="36" t="n"/>
    </row>
    <row r="224" ht="66" customHeight="1">
      <c r="A224" s="36" t="inlineStr">
        <is>
          <t>Equipamentos e ferramentas de uso coletivo</t>
        </is>
      </c>
      <c r="B224" s="36" t="n"/>
      <c r="C224" s="36" t="inlineStr">
        <is>
          <t>Placa de alerta 20 x 30 cm com a descrição: "Atenção – Não opere este equipamento" com capa de lona</t>
        </is>
      </c>
      <c r="D224" s="36" t="n"/>
      <c r="E224" s="36" t="inlineStr">
        <is>
          <t>1</t>
        </is>
      </c>
      <c r="F224" s="36" t="n"/>
      <c r="G224" s="36" t="n"/>
      <c r="H224" s="36" t="n"/>
      <c r="I224" s="36" t="n"/>
    </row>
    <row r="225" ht="66" customHeight="1">
      <c r="A225" s="36" t="inlineStr">
        <is>
          <t>Equipamentos e ferramentas de uso coletivo</t>
        </is>
      </c>
      <c r="B225" s="36" t="n"/>
      <c r="C225" s="36" t="inlineStr">
        <is>
          <t>Prumo de pedreiro</t>
        </is>
      </c>
      <c r="D225" s="36" t="n"/>
      <c r="E225" s="36" t="inlineStr">
        <is>
          <t>1</t>
        </is>
      </c>
      <c r="F225" s="36" t="n"/>
      <c r="G225" s="36" t="n"/>
      <c r="H225" s="36" t="n"/>
      <c r="I225" s="36" t="n"/>
    </row>
    <row r="226" ht="66" customHeight="1">
      <c r="A226" s="36" t="inlineStr">
        <is>
          <t>Equipamentos e ferramentas de uso coletivo</t>
        </is>
      </c>
      <c r="B226" s="36" t="n"/>
      <c r="C226" s="36" t="inlineStr">
        <is>
          <t>Roldana para lançamento de cabo de AT</t>
        </is>
      </c>
      <c r="D226" s="36" t="n"/>
      <c r="E226" s="36" t="inlineStr">
        <is>
          <t>9</t>
        </is>
      </c>
      <c r="F226" s="36" t="n"/>
      <c r="G226" s="36" t="n"/>
      <c r="H226" s="36" t="n"/>
      <c r="I226" s="36" t="n"/>
    </row>
    <row r="227" ht="66" customHeight="1">
      <c r="A227" s="36" t="inlineStr">
        <is>
          <t>Equipamentos e ferramentas de uso coletivo</t>
        </is>
      </c>
      <c r="B227" s="36" t="n"/>
      <c r="C227" s="36" t="inlineStr">
        <is>
          <t>Roldana para lançamento de condutor de BT</t>
        </is>
      </c>
      <c r="D227" s="36" t="n"/>
      <c r="E227" s="36" t="inlineStr">
        <is>
          <t>6</t>
        </is>
      </c>
      <c r="F227" s="36" t="n"/>
      <c r="G227" s="36" t="n"/>
      <c r="H227" s="36" t="n"/>
      <c r="I227" s="36" t="n"/>
    </row>
    <row r="228" ht="66" customHeight="1">
      <c r="A228" s="36" t="inlineStr">
        <is>
          <t>Equipamentos e ferramentas de uso coletivo</t>
        </is>
      </c>
      <c r="B228" s="36" t="n"/>
      <c r="C228" s="36" t="inlineStr">
        <is>
          <t>Serra para poda adaptável para vara de manobra</t>
        </is>
      </c>
      <c r="D228" s="36" t="n"/>
      <c r="E228" s="36" t="inlineStr">
        <is>
          <t>2</t>
        </is>
      </c>
      <c r="F228" s="36" t="n"/>
      <c r="G228" s="36" t="n"/>
      <c r="H228" s="36" t="n"/>
      <c r="I228" s="36" t="n"/>
    </row>
    <row r="229" ht="66" customHeight="1">
      <c r="A229" s="36" t="inlineStr">
        <is>
          <t>Equipamentos e ferramentas de uso coletivo</t>
        </is>
      </c>
      <c r="B229" s="36" t="n"/>
      <c r="C229" s="36" t="inlineStr">
        <is>
          <t>Serra manual para corte de galhos, 35 cm</t>
        </is>
      </c>
      <c r="D229" s="36" t="n"/>
      <c r="E229" s="36" t="inlineStr">
        <is>
          <t>3</t>
        </is>
      </c>
      <c r="F229" s="36" t="n"/>
      <c r="G229" s="36" t="n"/>
      <c r="H229" s="36" t="n"/>
      <c r="I229" s="36" t="n"/>
    </row>
    <row r="230" ht="66" customHeight="1">
      <c r="A230" s="36" t="inlineStr">
        <is>
          <t>Equipamentos e ferramentas de uso coletivo</t>
        </is>
      </c>
      <c r="B230" s="36" t="n"/>
      <c r="C230" s="36" t="inlineStr">
        <is>
          <t>Soquete com cabo de madeira</t>
        </is>
      </c>
      <c r="D230" s="36" t="n"/>
      <c r="E230" s="36" t="inlineStr">
        <is>
          <t>2</t>
        </is>
      </c>
      <c r="F230" s="36" t="n"/>
      <c r="G230" s="36" t="n"/>
      <c r="H230" s="36" t="n"/>
      <c r="I230" s="36" t="n"/>
    </row>
    <row r="231" ht="66" customHeight="1">
      <c r="A231" s="36" t="inlineStr">
        <is>
          <t>Equipamentos e ferramentas de uso coletivo</t>
        </is>
      </c>
      <c r="B231" s="36" t="n"/>
      <c r="C231" s="36" t="inlineStr">
        <is>
          <t>Tesourão para corte de cabo de aço</t>
        </is>
      </c>
      <c r="D231" s="36" t="n"/>
      <c r="E231" s="36" t="inlineStr">
        <is>
          <t>1</t>
        </is>
      </c>
      <c r="F231" s="36" t="n"/>
      <c r="G231" s="36" t="n"/>
      <c r="H231" s="36" t="n"/>
      <c r="I231" s="36" t="n"/>
    </row>
    <row r="232" ht="66" customHeight="1">
      <c r="A232" s="36" t="inlineStr">
        <is>
          <t>Equipamentos e ferramentas de uso coletivo</t>
        </is>
      </c>
      <c r="B232" s="36" t="n"/>
      <c r="C232" s="36" t="inlineStr">
        <is>
          <t>Tirfor 1500 kgf com 30m de cabo de aço</t>
        </is>
      </c>
      <c r="D232" s="36" t="n"/>
      <c r="E232" s="36" t="inlineStr">
        <is>
          <t>1</t>
        </is>
      </c>
      <c r="F232" s="36" t="n"/>
      <c r="G232" s="36" t="n"/>
      <c r="H232" s="36" t="n"/>
      <c r="I232" s="36" t="n"/>
    </row>
    <row r="233" ht="66" customHeight="1">
      <c r="A233" s="36" t="inlineStr">
        <is>
          <t>Equipamentos e ferramentas de uso coletivo</t>
        </is>
      </c>
      <c r="B233" s="36" t="n"/>
      <c r="C233" s="36" t="inlineStr">
        <is>
          <t>Trado ou arco de pua 5/8"</t>
        </is>
      </c>
      <c r="D233" s="36" t="n"/>
      <c r="E233" s="36" t="inlineStr">
        <is>
          <t>1</t>
        </is>
      </c>
      <c r="F233" s="36" t="n"/>
      <c r="G233" s="36" t="n"/>
      <c r="H233" s="36" t="n"/>
      <c r="I233" s="36" t="n"/>
    </row>
    <row r="234" ht="66" customHeight="1">
      <c r="A234" s="36" t="inlineStr">
        <is>
          <t>Equipamentos e ferramentas de uso coletivo</t>
        </is>
      </c>
      <c r="B234" s="36" t="n"/>
      <c r="C234" s="36" t="inlineStr">
        <is>
          <t>Trena de aço ou escala métrica 2 m</t>
        </is>
      </c>
      <c r="D234" s="36" t="n"/>
      <c r="E234" s="36" t="inlineStr">
        <is>
          <t>1</t>
        </is>
      </c>
      <c r="F234" s="36" t="n"/>
      <c r="G234" s="36" t="n"/>
      <c r="H234" s="36" t="n"/>
      <c r="I234" s="36" t="n"/>
    </row>
    <row r="235" ht="66" customHeight="1">
      <c r="A235" s="36" t="inlineStr">
        <is>
          <t>Equipamentos e ferramentas de uso coletivo</t>
        </is>
      </c>
      <c r="B235" s="36" t="n"/>
      <c r="C235" s="36" t="inlineStr">
        <is>
          <t>Trena de fibra de vidro 50 m</t>
        </is>
      </c>
      <c r="D235" s="36" t="n"/>
      <c r="E235" s="36" t="inlineStr">
        <is>
          <t>1</t>
        </is>
      </c>
      <c r="F235" s="36" t="n"/>
      <c r="G235" s="36" t="n"/>
      <c r="H235" s="36" t="n"/>
      <c r="I235" s="36" t="n"/>
    </row>
    <row r="236" ht="66" customHeight="1">
      <c r="A236" s="36" t="inlineStr">
        <is>
          <t>Equipamentos e ferramentas de uso coletivo</t>
        </is>
      </c>
      <c r="B236" s="36" t="n"/>
      <c r="C236" s="36" t="inlineStr">
        <is>
          <t>Vara de manobra com encaixe universal</t>
        </is>
      </c>
      <c r="D236" s="36" t="n"/>
      <c r="E236" s="36" t="inlineStr">
        <is>
          <t>1</t>
        </is>
      </c>
      <c r="F236" s="36" t="n"/>
      <c r="G236" s="36" t="n"/>
      <c r="H236" s="36" t="inlineStr">
        <is>
          <t>EE</t>
        </is>
      </c>
      <c r="I236" s="36" t="n"/>
    </row>
    <row r="237" ht="66" customHeight="1">
      <c r="A237" s="36" t="inlineStr">
        <is>
          <t>Equipamentos e ferramentas de uso coletivo</t>
        </is>
      </c>
      <c r="B237" s="36" t="n"/>
      <c r="C237" s="36" t="inlineStr">
        <is>
          <t>Virador de poste Duplo T</t>
        </is>
      </c>
      <c r="D237" s="36" t="n"/>
      <c r="E237" s="36" t="inlineStr">
        <is>
          <t>1</t>
        </is>
      </c>
      <c r="F237" s="36" t="n"/>
      <c r="G237" s="36" t="n"/>
      <c r="H237" s="36" t="n"/>
      <c r="I237" s="36" t="n"/>
    </row>
    <row r="238" ht="66" customHeight="1">
      <c r="A238" s="36" t="inlineStr">
        <is>
          <t>Equipamentos e ferramentas de uso coletivo</t>
        </is>
      </c>
      <c r="B238" s="36" t="n"/>
      <c r="C238" s="36" t="inlineStr">
        <is>
          <t>Volt-amperímetro,600V, Categoria IV (para uso no SEP), com classe de exatidão de 2%</t>
        </is>
      </c>
      <c r="D238" s="36" t="n"/>
      <c r="E238" s="36" t="inlineStr">
        <is>
          <t>1</t>
        </is>
      </c>
      <c r="F238" s="36" t="n"/>
      <c r="G238" s="36" t="n"/>
      <c r="H238" s="36" t="inlineStr">
        <is>
          <t>EE</t>
        </is>
      </c>
      <c r="I238" s="36" t="n"/>
    </row>
    <row r="239" ht="66" customHeight="1">
      <c r="A239" s="36" t="inlineStr">
        <is>
          <t>Equipamentos e ferramentas de uso individual</t>
        </is>
      </c>
      <c r="B239" s="36" t="n"/>
      <c r="C239" s="36" t="inlineStr">
        <is>
          <t>Alicate prendedor com lâmina deslizante (bomba d'água) de 305 mm de comprimento</t>
        </is>
      </c>
      <c r="D239" s="36" t="n"/>
      <c r="E239" s="36" t="n"/>
      <c r="F239" s="36" t="inlineStr">
        <is>
          <t>1</t>
        </is>
      </c>
      <c r="G239" s="36" t="inlineStr">
        <is>
          <t>3</t>
        </is>
      </c>
      <c r="H239" s="36" t="n"/>
      <c r="I239" s="36" t="n"/>
    </row>
    <row r="240" ht="66" customHeight="1">
      <c r="A240" s="36" t="inlineStr">
        <is>
          <t>Equipamentos e ferramentas de uso individual</t>
        </is>
      </c>
      <c r="B240" s="36" t="n"/>
      <c r="C240" s="36" t="inlineStr">
        <is>
          <t>Alicate universal (200 mm) cobertura isolada</t>
        </is>
      </c>
      <c r="D240" s="36" t="n"/>
      <c r="E240" s="36" t="n"/>
      <c r="F240" s="36" t="inlineStr">
        <is>
          <t>1</t>
        </is>
      </c>
      <c r="G240" s="36" t="inlineStr">
        <is>
          <t>3</t>
        </is>
      </c>
      <c r="H240" s="36" t="n"/>
      <c r="I240" s="36" t="n"/>
    </row>
    <row r="241" ht="66" customHeight="1">
      <c r="A241" s="36" t="inlineStr">
        <is>
          <t>Equipamentos e ferramentas de uso individual</t>
        </is>
      </c>
      <c r="B241" s="36" t="n"/>
      <c r="C241" s="36" t="inlineStr">
        <is>
          <t>Balde de lona para içar materiais</t>
        </is>
      </c>
      <c r="D241" s="36" t="n"/>
      <c r="E241" s="36" t="n"/>
      <c r="F241" s="36" t="inlineStr">
        <is>
          <t>1</t>
        </is>
      </c>
      <c r="G241" s="36" t="inlineStr">
        <is>
          <t>3</t>
        </is>
      </c>
      <c r="H241" s="36" t="n"/>
      <c r="I241" s="36" t="n"/>
    </row>
    <row r="242" ht="66" customHeight="1">
      <c r="A242" s="36" t="inlineStr">
        <is>
          <t>Equipamentos e ferramentas de uso individual</t>
        </is>
      </c>
      <c r="B242" s="36" t="n"/>
      <c r="C242" s="36" t="inlineStr">
        <is>
          <t>Bolsa de lona para proteção de luva de borracha</t>
        </is>
      </c>
      <c r="D242" s="36" t="n"/>
      <c r="E242" s="36" t="n"/>
      <c r="F242" s="36" t="inlineStr">
        <is>
          <t>1</t>
        </is>
      </c>
      <c r="G242" s="36" t="inlineStr">
        <is>
          <t>4</t>
        </is>
      </c>
      <c r="H242" s="36" t="n"/>
      <c r="I242" s="36" t="n"/>
    </row>
    <row r="243" ht="66" customHeight="1">
      <c r="A243" s="36" t="inlineStr">
        <is>
          <t>Equipamentos e ferramentas de uso individual</t>
        </is>
      </c>
      <c r="B243" s="36" t="n"/>
      <c r="C243" s="36" t="inlineStr">
        <is>
          <t>Calça Antichama</t>
        </is>
      </c>
      <c r="D243" s="36" t="inlineStr">
        <is>
          <t>1.055</t>
        </is>
      </c>
      <c r="E243" s="36" t="n"/>
      <c r="F243" s="36" t="inlineStr">
        <is>
          <t>2</t>
        </is>
      </c>
      <c r="G243" s="36" t="inlineStr">
        <is>
          <t>6</t>
        </is>
      </c>
      <c r="H243" s="36" t="n"/>
      <c r="I243" s="36" t="n"/>
    </row>
    <row r="244" ht="66" customHeight="1">
      <c r="A244" s="36" t="inlineStr">
        <is>
          <t>Equipamentos e ferramentas de uso individual</t>
        </is>
      </c>
      <c r="B244" s="36" t="n"/>
      <c r="C244" s="36" t="inlineStr">
        <is>
          <t>Camiseta manga curta ou comprida</t>
        </is>
      </c>
      <c r="D244" s="36" t="inlineStr">
        <is>
          <t>1.001</t>
        </is>
      </c>
      <c r="E244" s="36" t="n"/>
      <c r="F244" s="36" t="inlineStr">
        <is>
          <t>2</t>
        </is>
      </c>
      <c r="G244" s="36" t="inlineStr">
        <is>
          <t>6</t>
        </is>
      </c>
      <c r="H244" s="36" t="n"/>
      <c r="I244" s="36" t="n"/>
    </row>
    <row r="245" ht="66" customHeight="1">
      <c r="A245" s="36" t="inlineStr">
        <is>
          <t>Equipamentos e ferramentas de uso individual</t>
        </is>
      </c>
      <c r="B245" s="36" t="n"/>
      <c r="C245" s="36" t="inlineStr">
        <is>
          <t>Camisa Antichama, manga comprida</t>
        </is>
      </c>
      <c r="D245" s="36" t="inlineStr">
        <is>
          <t>1.055</t>
        </is>
      </c>
      <c r="E245" s="36" t="n"/>
      <c r="F245" s="36" t="inlineStr">
        <is>
          <t>2</t>
        </is>
      </c>
      <c r="G245" s="36" t="inlineStr">
        <is>
          <t>6</t>
        </is>
      </c>
      <c r="H245" s="36" t="n"/>
      <c r="I245" s="36" t="n"/>
    </row>
    <row r="246" ht="66" customHeight="1">
      <c r="A246" s="36" t="inlineStr">
        <is>
          <t>Equipamentos e ferramentas de uso individual</t>
        </is>
      </c>
      <c r="B246" s="36" t="n"/>
      <c r="C246" s="36" t="inlineStr">
        <is>
          <t>Canivete de 80 mm (bico chato)</t>
        </is>
      </c>
      <c r="D246" s="36" t="n"/>
      <c r="E246" s="36" t="n"/>
      <c r="F246" s="36" t="inlineStr">
        <is>
          <t>1</t>
        </is>
      </c>
      <c r="G246" s="36" t="inlineStr">
        <is>
          <t>2</t>
        </is>
      </c>
      <c r="H246" s="36" t="n"/>
      <c r="I246" s="36" t="n"/>
    </row>
    <row r="247" ht="66" customHeight="1">
      <c r="A247" s="36" t="inlineStr">
        <is>
          <t>Equipamentos e ferramentas de uso individual</t>
        </is>
      </c>
      <c r="B247" s="36" t="n"/>
      <c r="C247" s="36" t="inlineStr">
        <is>
          <t>Conjunto impermeável (calça e jaqueta) para chuva - cor amarela</t>
        </is>
      </c>
      <c r="D247" s="36" t="inlineStr">
        <is>
          <t>1.006</t>
        </is>
      </c>
      <c r="E247" s="36" t="n"/>
      <c r="F247" s="36" t="inlineStr">
        <is>
          <t>1</t>
        </is>
      </c>
      <c r="G247" s="36" t="inlineStr">
        <is>
          <t>3</t>
        </is>
      </c>
      <c r="H247" s="36" t="n"/>
      <c r="I247" s="36" t="n"/>
    </row>
    <row r="248" ht="66" customHeight="1">
      <c r="A248" s="36" t="inlineStr">
        <is>
          <t>Equipamentos e ferramentas de uso individual</t>
        </is>
      </c>
      <c r="B248" s="36" t="n"/>
      <c r="C248" s="36" t="inlineStr">
        <is>
          <t>Conjunto de Segurança para Trabalhos em Altura</t>
        </is>
      </c>
      <c r="D248" s="36" t="inlineStr">
        <is>
          <t>1.019</t>
        </is>
      </c>
      <c r="E248" s="36" t="n"/>
      <c r="F248" s="36" t="inlineStr">
        <is>
          <t>1</t>
        </is>
      </c>
      <c r="G248" s="36" t="inlineStr">
        <is>
          <t>3</t>
        </is>
      </c>
      <c r="H248" s="36" t="n"/>
      <c r="I248" s="36" t="n"/>
    </row>
    <row r="249" ht="66" customHeight="1">
      <c r="A249" s="36" t="inlineStr">
        <is>
          <t>Equipamentos e ferramentas de uso individual</t>
        </is>
      </c>
      <c r="B249" s="36" t="n"/>
      <c r="C249" s="36" t="inlineStr">
        <is>
          <t>Conjunto de aterramento temporário tipo sela (atender as especificações do equipamento definidas no MIT – 161612) - da VTT</t>
        </is>
      </c>
      <c r="D249" s="36" t="n"/>
      <c r="E249" s="36" t="n"/>
      <c r="F249" s="36" t="inlineStr">
        <is>
          <t>1</t>
        </is>
      </c>
      <c r="G249" s="36" t="inlineStr">
        <is>
          <t>3</t>
        </is>
      </c>
      <c r="H249" s="36" t="inlineStr">
        <is>
          <t>EE</t>
        </is>
      </c>
      <c r="I249" s="36" t="n"/>
    </row>
    <row r="250" ht="66" customHeight="1">
      <c r="A250" s="36" t="inlineStr">
        <is>
          <t>Equipamentos e ferramentas de uso individual</t>
        </is>
      </c>
      <c r="B250" s="36" t="n"/>
      <c r="C250" s="36" t="inlineStr">
        <is>
          <t>Capacete de aba frontal, tipo II - classe B</t>
        </is>
      </c>
      <c r="D250" s="36" t="inlineStr">
        <is>
          <t>1.015</t>
        </is>
      </c>
      <c r="E250" s="36" t="n"/>
      <c r="F250" s="36" t="inlineStr">
        <is>
          <t>1</t>
        </is>
      </c>
      <c r="G250" s="36" t="inlineStr">
        <is>
          <t>3</t>
        </is>
      </c>
      <c r="H250" s="36" t="n"/>
      <c r="I250" s="36" t="n"/>
    </row>
    <row r="251" ht="66" customHeight="1">
      <c r="A251" s="36" t="inlineStr">
        <is>
          <t>Equipamentos e ferramentas de uso individual</t>
        </is>
      </c>
      <c r="B251" s="36" t="n"/>
      <c r="C251" s="36" t="inlineStr">
        <is>
          <t>Chave de boca de 16 x 17 mm</t>
        </is>
      </c>
      <c r="D251" s="36" t="n"/>
      <c r="E251" s="36" t="n"/>
      <c r="F251" s="36" t="inlineStr">
        <is>
          <t>1</t>
        </is>
      </c>
      <c r="G251" s="36" t="inlineStr">
        <is>
          <t>3</t>
        </is>
      </c>
      <c r="H251" s="36" t="n"/>
      <c r="I251" s="36" t="n"/>
    </row>
    <row r="252" ht="66" customHeight="1">
      <c r="A252" s="36" t="inlineStr">
        <is>
          <t>Equipamentos e ferramentas de uso individual</t>
        </is>
      </c>
      <c r="B252" s="36" t="n"/>
      <c r="C252" s="36" t="inlineStr">
        <is>
          <t>Chave de boca 25 x 28 mm</t>
        </is>
      </c>
      <c r="D252" s="36" t="n"/>
      <c r="E252" s="36" t="n"/>
      <c r="F252" s="36" t="inlineStr">
        <is>
          <t>1</t>
        </is>
      </c>
      <c r="G252" s="36" t="inlineStr">
        <is>
          <t>2</t>
        </is>
      </c>
      <c r="H252" s="36" t="n"/>
      <c r="I252" s="36" t="n"/>
    </row>
    <row r="253" ht="66" customHeight="1">
      <c r="A253" s="36" t="inlineStr">
        <is>
          <t>Equipamentos e ferramentas de uso individual</t>
        </is>
      </c>
      <c r="B253" s="36" t="n"/>
      <c r="C253" s="36" t="inlineStr">
        <is>
          <t>Chave de fenda 150x6 mm</t>
        </is>
      </c>
      <c r="D253" s="36" t="n"/>
      <c r="E253" s="36" t="n"/>
      <c r="F253" s="36" t="inlineStr">
        <is>
          <t>1</t>
        </is>
      </c>
      <c r="G253" s="36" t="inlineStr">
        <is>
          <t>3</t>
        </is>
      </c>
      <c r="H253" s="36" t="n"/>
      <c r="I253" s="36" t="n"/>
    </row>
    <row r="254" ht="66" customHeight="1">
      <c r="A254" s="36" t="inlineStr">
        <is>
          <t>Equipamentos e ferramentas de uso individual</t>
        </is>
      </c>
      <c r="B254" s="36" t="n"/>
      <c r="C254" s="36" t="inlineStr">
        <is>
          <t>Chave estrela de 18 x 19 mm</t>
        </is>
      </c>
      <c r="D254" s="36" t="n"/>
      <c r="E254" s="36" t="n"/>
      <c r="F254" s="36" t="inlineStr">
        <is>
          <t>1</t>
        </is>
      </c>
      <c r="G254" s="36" t="inlineStr">
        <is>
          <t>3</t>
        </is>
      </c>
      <c r="H254" s="36" t="n"/>
      <c r="I254" s="36" t="n"/>
    </row>
    <row r="255" ht="66" customHeight="1">
      <c r="A255" s="36" t="inlineStr">
        <is>
          <t>Equipamentos e ferramentas de uso individual</t>
        </is>
      </c>
      <c r="B255" s="36" t="n"/>
      <c r="C255" s="36" t="inlineStr">
        <is>
          <t>Chave estrela de 10 x 11 mm</t>
        </is>
      </c>
      <c r="D255" s="36" t="n"/>
      <c r="E255" s="36" t="n"/>
      <c r="F255" s="36" t="inlineStr">
        <is>
          <t>1</t>
        </is>
      </c>
      <c r="G255" s="36" t="inlineStr">
        <is>
          <t>3</t>
        </is>
      </c>
      <c r="H255" s="36" t="n"/>
      <c r="I255" s="36" t="n"/>
    </row>
    <row r="256" ht="66" customHeight="1">
      <c r="A256" s="36" t="inlineStr">
        <is>
          <t>Equipamentos e ferramentas de uso individual</t>
        </is>
      </c>
      <c r="B256" s="36" t="n"/>
      <c r="C256" s="36" t="inlineStr">
        <is>
          <t>Chave estrela de 12 x 13 mm</t>
        </is>
      </c>
      <c r="D256" s="36" t="n"/>
      <c r="E256" s="36" t="n"/>
      <c r="F256" s="36" t="inlineStr">
        <is>
          <t>1</t>
        </is>
      </c>
      <c r="G256" s="36" t="inlineStr">
        <is>
          <t>3</t>
        </is>
      </c>
      <c r="H256" s="36" t="n"/>
      <c r="I256" s="36" t="n"/>
    </row>
    <row r="257" ht="66" customHeight="1">
      <c r="A257" s="36" t="inlineStr">
        <is>
          <t>Equipamentos e ferramentas de uso individual</t>
        </is>
      </c>
      <c r="B257" s="36" t="n"/>
      <c r="C257" s="36" t="inlineStr">
        <is>
          <t>Chave inglesa abertura 30 mm, NTC 890131</t>
        </is>
      </c>
      <c r="D257" s="36" t="n"/>
      <c r="E257" s="36" t="n"/>
      <c r="F257" s="36" t="inlineStr">
        <is>
          <t>1</t>
        </is>
      </c>
      <c r="G257" s="36" t="inlineStr">
        <is>
          <t>3</t>
        </is>
      </c>
      <c r="H257" s="36" t="n"/>
      <c r="I257" s="36" t="n"/>
    </row>
    <row r="258" ht="66" customHeight="1">
      <c r="A258" s="36" t="inlineStr">
        <is>
          <t>Equipamentos e ferramentas de uso individual</t>
        </is>
      </c>
      <c r="B258" s="36" t="n"/>
      <c r="C258" s="36" t="inlineStr">
        <is>
          <t>Chave inglesa abertura 23 mm, NTC 890130</t>
        </is>
      </c>
      <c r="D258" s="36" t="n"/>
      <c r="E258" s="36" t="n"/>
      <c r="F258" s="36" t="inlineStr">
        <is>
          <t>1</t>
        </is>
      </c>
      <c r="G258" s="36" t="inlineStr">
        <is>
          <t>3</t>
        </is>
      </c>
      <c r="H258" s="36" t="n"/>
      <c r="I258" s="36" t="n"/>
    </row>
    <row r="259" ht="66" customHeight="1">
      <c r="A259" s="36" t="inlineStr">
        <is>
          <t>Equipamentos e ferramentas de uso individual</t>
        </is>
      </c>
      <c r="B259" s="36" t="n"/>
      <c r="C259" s="36" t="inlineStr">
        <is>
          <t>Corda de 13 metros – Poliamida 10mm – NTC 890173</t>
        </is>
      </c>
      <c r="D259" s="36" t="n"/>
      <c r="E259" s="36" t="n"/>
      <c r="F259" s="36" t="inlineStr">
        <is>
          <t>1</t>
        </is>
      </c>
      <c r="G259" s="36" t="inlineStr">
        <is>
          <t>3</t>
        </is>
      </c>
      <c r="H259" s="36" t="n"/>
      <c r="I259" s="36" t="n"/>
    </row>
    <row r="260" ht="66" customHeight="1">
      <c r="A260" s="36" t="inlineStr">
        <is>
          <t>Equipamentos e ferramentas de uso individual</t>
        </is>
      </c>
      <c r="B260" s="36" t="n"/>
      <c r="C260" s="36" t="inlineStr">
        <is>
          <t>Escova de aço tipo V para limpeza de cabo</t>
        </is>
      </c>
      <c r="D260" s="36" t="n"/>
      <c r="E260" s="36" t="n"/>
      <c r="F260" s="36" t="inlineStr">
        <is>
          <t>1</t>
        </is>
      </c>
      <c r="G260" s="36" t="inlineStr">
        <is>
          <t>3</t>
        </is>
      </c>
      <c r="H260" s="36" t="n"/>
      <c r="I260" s="36" t="n"/>
    </row>
    <row r="261" ht="66" customHeight="1">
      <c r="A261" s="36" t="inlineStr">
        <is>
          <t>Equipamentos e ferramentas de uso individual</t>
        </is>
      </c>
      <c r="B261" s="36" t="n"/>
      <c r="C261" s="36" t="inlineStr">
        <is>
          <t>Espora com correia para poste duplo T (par) Tipo B</t>
        </is>
      </c>
      <c r="D261" s="36" t="n"/>
      <c r="E261" s="36" t="n"/>
      <c r="F261" s="36" t="inlineStr">
        <is>
          <t>1</t>
        </is>
      </c>
      <c r="G261" s="36" t="inlineStr">
        <is>
          <t>3</t>
        </is>
      </c>
      <c r="H261" s="36" t="n"/>
      <c r="I261" s="36" t="n"/>
    </row>
    <row r="262" ht="66" customHeight="1">
      <c r="A262" s="36" t="inlineStr">
        <is>
          <t>Equipamentos e ferramentas de uso individual</t>
        </is>
      </c>
      <c r="B262" s="36" t="n"/>
      <c r="C262" s="36" t="inlineStr">
        <is>
          <t>Jaqueta Antichama</t>
        </is>
      </c>
      <c r="D262" s="36" t="inlineStr">
        <is>
          <t>1.081</t>
        </is>
      </c>
      <c r="E262" s="36" t="n"/>
      <c r="F262" s="36" t="inlineStr">
        <is>
          <t>1</t>
        </is>
      </c>
      <c r="G262" s="36" t="inlineStr">
        <is>
          <t>3</t>
        </is>
      </c>
      <c r="H262" s="36" t="n"/>
      <c r="I262" s="36" t="n"/>
    </row>
    <row r="263" ht="66" customHeight="1">
      <c r="A263" s="36" t="inlineStr">
        <is>
          <t>Equipamentos e ferramentas de uso individual</t>
        </is>
      </c>
      <c r="B263" s="36" t="n"/>
      <c r="C263" s="36" t="inlineStr">
        <is>
          <t>Luva vaqueta</t>
        </is>
      </c>
      <c r="D263" s="36" t="inlineStr">
        <is>
          <t>1.014</t>
        </is>
      </c>
      <c r="E263" s="36" t="n"/>
      <c r="F263" s="36" t="inlineStr">
        <is>
          <t>1</t>
        </is>
      </c>
      <c r="G263" s="36" t="inlineStr">
        <is>
          <t>3</t>
        </is>
      </c>
      <c r="H263" s="36" t="n"/>
      <c r="I263" s="36" t="n"/>
    </row>
    <row r="264" ht="66" customHeight="1">
      <c r="A264" s="36" t="inlineStr">
        <is>
          <t>Equipamentos e ferramentas de uso individual</t>
        </is>
      </c>
      <c r="B264" s="36" t="n"/>
      <c r="C264" s="36" t="inlineStr">
        <is>
          <t>Luva de borracha para BT – Classe 0 – 1000 V (par)</t>
        </is>
      </c>
      <c r="D264" s="36" t="inlineStr">
        <is>
          <t>2.015</t>
        </is>
      </c>
      <c r="E264" s="36" t="n"/>
      <c r="F264" s="36" t="inlineStr">
        <is>
          <t>1</t>
        </is>
      </c>
      <c r="G264" s="36" t="inlineStr">
        <is>
          <t>2</t>
        </is>
      </c>
      <c r="H264" s="36" t="inlineStr">
        <is>
          <t>EE</t>
        </is>
      </c>
      <c r="I264" s="36" t="n"/>
    </row>
    <row r="265" ht="66" customHeight="1">
      <c r="A265" s="36" t="inlineStr">
        <is>
          <t>Equipamentos e ferramentas de uso individual</t>
        </is>
      </c>
      <c r="B265" s="36" t="n"/>
      <c r="C265" s="36" t="inlineStr">
        <is>
          <t>Luva de Borracha classe II isolada para 20Kv (par)</t>
        </is>
      </c>
      <c r="D265" s="36" t="inlineStr">
        <is>
          <t>2.015</t>
        </is>
      </c>
      <c r="E265" s="36" t="n"/>
      <c r="F265" s="36" t="inlineStr">
        <is>
          <t>1</t>
        </is>
      </c>
      <c r="G265" s="36" t="inlineStr">
        <is>
          <t>3</t>
        </is>
      </c>
      <c r="H265" s="36" t="inlineStr">
        <is>
          <t>EE</t>
        </is>
      </c>
      <c r="I265" s="36" t="n"/>
    </row>
    <row r="266" ht="66" customHeight="1">
      <c r="A266" s="36" t="inlineStr">
        <is>
          <t>Equipamentos e ferramentas de uso individual</t>
        </is>
      </c>
      <c r="B266" s="36" t="n"/>
      <c r="C266" s="36" t="inlineStr">
        <is>
          <t>Luva de pelica para proteção de luva de borracha</t>
        </is>
      </c>
      <c r="D266" s="36" t="inlineStr">
        <is>
          <t>1.014</t>
        </is>
      </c>
      <c r="E266" s="36" t="n"/>
      <c r="F266" s="36" t="inlineStr">
        <is>
          <t>1</t>
        </is>
      </c>
      <c r="G266" s="36" t="inlineStr">
        <is>
          <t>3</t>
        </is>
      </c>
      <c r="H266" s="36" t="n"/>
      <c r="I266" s="36" t="n"/>
    </row>
    <row r="267" ht="66" customHeight="1">
      <c r="A267" s="36" t="inlineStr">
        <is>
          <t>Equipamentos e ferramentas de uso individual</t>
        </is>
      </c>
      <c r="B267" s="36" t="n"/>
      <c r="C267" s="36" t="inlineStr">
        <is>
          <t>Marreta 500g com cabo</t>
        </is>
      </c>
      <c r="D267" s="36" t="n"/>
      <c r="E267" s="36" t="n"/>
      <c r="F267" s="36" t="inlineStr">
        <is>
          <t>1</t>
        </is>
      </c>
      <c r="G267" s="36" t="inlineStr">
        <is>
          <t>3</t>
        </is>
      </c>
      <c r="H267" s="36" t="n"/>
      <c r="I267" s="36" t="n"/>
    </row>
    <row r="268" ht="66" customHeight="1">
      <c r="A268" s="36" t="inlineStr">
        <is>
          <t>Equipamentos e ferramentas de uso individual</t>
        </is>
      </c>
      <c r="B268" s="36" t="n"/>
      <c r="C268" s="36" t="inlineStr">
        <is>
          <t>Coturno de couro com solado isolado (par)</t>
        </is>
      </c>
      <c r="D268" s="36" t="inlineStr">
        <is>
          <t>1.022</t>
        </is>
      </c>
      <c r="E268" s="36" t="n"/>
      <c r="F268" s="36" t="inlineStr">
        <is>
          <t>1</t>
        </is>
      </c>
      <c r="G268" s="36" t="inlineStr">
        <is>
          <t>3</t>
        </is>
      </c>
      <c r="H268" s="36" t="inlineStr">
        <is>
          <t>EE</t>
        </is>
      </c>
      <c r="I268" s="36" t="n"/>
    </row>
    <row r="269" ht="66" customHeight="1">
      <c r="A269" s="36" t="inlineStr">
        <is>
          <t>Equipamentos e ferramentas de uso individual</t>
        </is>
      </c>
      <c r="B269" s="36" t="n"/>
      <c r="C269" s="36" t="inlineStr">
        <is>
          <t>Óculos de segurança incolor</t>
        </is>
      </c>
      <c r="D269" s="36" t="inlineStr">
        <is>
          <t>1.037</t>
        </is>
      </c>
      <c r="E269" s="36" t="n"/>
      <c r="F269" s="36" t="inlineStr">
        <is>
          <t>1</t>
        </is>
      </c>
      <c r="G269" s="36" t="inlineStr">
        <is>
          <t>3</t>
        </is>
      </c>
      <c r="H269" s="36" t="n"/>
      <c r="I269" s="36" t="n"/>
    </row>
    <row r="270" ht="66" customHeight="1">
      <c r="A270" s="36" t="inlineStr">
        <is>
          <t>Equipamentos e ferramentas de uso individual</t>
        </is>
      </c>
      <c r="B270" s="36" t="n"/>
      <c r="C270" s="36" t="inlineStr">
        <is>
          <t>Óculos de lente escura</t>
        </is>
      </c>
      <c r="D270" s="36" t="inlineStr">
        <is>
          <t>1.037</t>
        </is>
      </c>
      <c r="E270" s="36" t="n"/>
      <c r="F270" s="36" t="inlineStr">
        <is>
          <t>1</t>
        </is>
      </c>
      <c r="G270" s="36" t="inlineStr">
        <is>
          <t>3</t>
        </is>
      </c>
      <c r="H270" s="36" t="n"/>
      <c r="I270" s="36" t="n"/>
    </row>
    <row r="271" ht="66" customHeight="1">
      <c r="A271" s="36" t="inlineStr">
        <is>
          <t>Equipamentos e ferramentas de uso individual</t>
        </is>
      </c>
      <c r="B271" s="36" t="n"/>
      <c r="C271" s="36" t="inlineStr">
        <is>
          <t>Pasta de lona para ferramentas</t>
        </is>
      </c>
      <c r="D271" s="36" t="n"/>
      <c r="E271" s="36" t="n"/>
      <c r="F271" s="36" t="inlineStr">
        <is>
          <t>1</t>
        </is>
      </c>
      <c r="G271" s="36" t="inlineStr">
        <is>
          <t>3</t>
        </is>
      </c>
      <c r="H271" s="36" t="n"/>
      <c r="I271" s="36" t="n"/>
    </row>
    <row r="272" ht="66" customHeight="1">
      <c r="A272" s="36" t="inlineStr">
        <is>
          <t>Equipamentos e ferramentas de uso individual</t>
        </is>
      </c>
      <c r="B272" s="36" t="n"/>
      <c r="C272" s="36" t="inlineStr">
        <is>
          <t>Polaina para proteção contra mordida de cobra</t>
        </is>
      </c>
      <c r="D272" s="36" t="inlineStr">
        <is>
          <t>1.089</t>
        </is>
      </c>
      <c r="E272" s="36" t="n"/>
      <c r="F272" s="36" t="inlineStr">
        <is>
          <t>1</t>
        </is>
      </c>
      <c r="G272" s="36" t="inlineStr">
        <is>
          <t>3</t>
        </is>
      </c>
      <c r="H272" s="36" t="n"/>
      <c r="I272" s="36" t="n"/>
    </row>
    <row r="273" ht="39.59999847412109" customHeight="1">
      <c r="A273" s="36" t="inlineStr">
        <is>
          <t>Veículos</t>
        </is>
      </c>
      <c r="B273" s="36" t="n"/>
      <c r="C273" s="36" t="inlineStr">
        <is>
          <t>Caminhão com carroceria, equipado com giroflex, alarme de sapata e guindauto cuja capacidade de carga seja de 5.000 kg e momento de carga útil de 10.000 kgf/m, no mínimo. com cesto acoplado**</t>
        </is>
      </c>
      <c r="D273" s="36" t="n"/>
      <c r="E273" s="36" t="inlineStr">
        <is>
          <t>*1</t>
        </is>
      </c>
      <c r="F273" s="36" t="n"/>
      <c r="G273" s="36" t="n"/>
      <c r="H273" s="36" t="n"/>
      <c r="I273" s="36" t="n"/>
    </row>
    <row r="274">
      <c r="A274" s="36" t="inlineStr">
        <is>
          <t>Veículos</t>
        </is>
      </c>
      <c r="B274" s="36" t="n"/>
      <c r="C274" s="36" t="inlineStr">
        <is>
          <t>Camioneta para turma com tração 4x4 com giroflex</t>
        </is>
      </c>
      <c r="D274" s="36" t="n"/>
      <c r="E274" s="36" t="inlineStr">
        <is>
          <t>1</t>
        </is>
      </c>
      <c r="F274" s="36" t="n"/>
      <c r="G274" s="36" t="n"/>
      <c r="H274" s="36" t="n"/>
      <c r="I274" s="36" t="n"/>
    </row>
    <row r="275" ht="52.79999923706055" customHeight="1">
      <c r="A275" s="36" t="inlineStr">
        <is>
          <t>Equipamentos de comunicação</t>
        </is>
      </c>
      <c r="B275" s="36" t="n"/>
      <c r="C275" s="36" t="inlineStr">
        <is>
          <t>Equipamento de Comunicação de voz e dados (Tablet), com telefone celular integrado, com carregador veicular e demais acessórios obrigatórios (ver anexo X).</t>
        </is>
      </c>
      <c r="D275" s="36" t="n"/>
      <c r="E275" s="36" t="inlineStr">
        <is>
          <t>1</t>
        </is>
      </c>
      <c r="F275" s="36" t="n"/>
      <c r="G275" s="36" t="n"/>
      <c r="H275" s="36" t="n"/>
      <c r="I275" s="36" t="n"/>
    </row>
    <row r="276" ht="52.79999923706055" customHeight="1">
      <c r="A276" s="36" t="inlineStr">
        <is>
          <t>Equipamentos de comunicação</t>
        </is>
      </c>
      <c r="B276" s="36" t="n"/>
      <c r="C276" s="36" t="inlineStr">
        <is>
          <t>Câmera de vídeomonitoramento conforme especificações descritas no anexo XII.</t>
        </is>
      </c>
      <c r="D276" s="36" t="n"/>
      <c r="E276" s="36" t="inlineStr">
        <is>
          <t>1</t>
        </is>
      </c>
      <c r="F276" s="36" t="n"/>
      <c r="G276" s="36" t="n"/>
      <c r="H276" s="36" t="n"/>
      <c r="I276" s="36" t="n"/>
    </row>
    <row r="277" ht="39.59999847412109" customHeight="1">
      <c r="A277" s="36" t="inlineStr">
        <is>
          <t>Composição da turma</t>
        </is>
      </c>
      <c r="B277" s="36" t="n"/>
      <c r="C277" s="36" t="inlineStr">
        <is>
          <t>Eletricista Encarregado</t>
        </is>
      </c>
      <c r="D277" s="36" t="n"/>
      <c r="E277" s="36" t="inlineStr">
        <is>
          <t>1</t>
        </is>
      </c>
      <c r="F277" s="36" t="n"/>
      <c r="G277" s="36" t="n"/>
      <c r="H277" s="36" t="n"/>
      <c r="I277" s="36" t="n"/>
    </row>
    <row r="278" ht="39.59999847412109" customHeight="1">
      <c r="A278" s="36" t="inlineStr">
        <is>
          <t>Composição da turma</t>
        </is>
      </c>
      <c r="B278" s="36" t="n"/>
      <c r="C278" s="36" t="inlineStr">
        <is>
          <t>Eletricista Oficial</t>
        </is>
      </c>
      <c r="D278" s="36" t="n"/>
      <c r="E278" s="36" t="inlineStr">
        <is>
          <t>1</t>
        </is>
      </c>
      <c r="F278" s="36" t="n"/>
      <c r="G278" s="36" t="n"/>
      <c r="H278" s="36" t="n"/>
      <c r="I278" s="36" t="n"/>
    </row>
    <row r="279" ht="39.59999847412109" customHeight="1">
      <c r="A279" s="36" t="inlineStr">
        <is>
          <t>Composição da turma</t>
        </is>
      </c>
      <c r="B279" s="36" t="n"/>
      <c r="C279" s="36" t="inlineStr">
        <is>
          <t>Eletricista Meio Oficial</t>
        </is>
      </c>
      <c r="D279" s="36" t="n"/>
      <c r="E279" s="36" t="inlineStr">
        <is>
          <t>1</t>
        </is>
      </c>
      <c r="F279" s="36" t="n"/>
      <c r="G279" s="36" t="n"/>
      <c r="H279" s="36" t="n"/>
      <c r="I279" s="36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48" customWidth="1" min="4" max="4"/>
    <col width="12" customWidth="1" min="5" max="5"/>
    <col width="16" customWidth="1" min="6" max="6"/>
    <col width="12" customWidth="1" min="7" max="7"/>
    <col width="55" customWidth="1" min="8" max="8"/>
    <col width="10" customWidth="1" min="9" max="9"/>
    <col width="12" customWidth="1" min="10" max="10"/>
    <col width="14" customWidth="1" min="11" max="11"/>
    <col width="14" customWidth="1" min="12" max="12"/>
    <col width="24" customWidth="1" min="14" max="14"/>
    <col width="70" customWidth="1" min="15" max="15"/>
  </cols>
  <sheetData>
    <row r="1">
      <c r="A1" s="250" t="inlineStr">
        <is>
          <t>Status</t>
        </is>
      </c>
      <c r="B1" s="250" t="inlineStr">
        <is>
          <t>Linha destino</t>
        </is>
      </c>
      <c r="C1" s="250" t="inlineStr">
        <is>
          <t>SQ</t>
        </is>
      </c>
      <c r="D1" s="250" t="inlineStr">
        <is>
          <t>Descrição destino</t>
        </is>
      </c>
      <c r="E1" s="250" t="inlineStr">
        <is>
          <t>QTD destino</t>
        </is>
      </c>
      <c r="F1" s="250" t="inlineStr">
        <is>
          <t>Valor unit. preenchido</t>
        </is>
      </c>
      <c r="G1" s="250" t="inlineStr">
        <is>
          <t>Item origem</t>
        </is>
      </c>
      <c r="H1" s="250" t="inlineStr">
        <is>
          <t>Descrição origem</t>
        </is>
      </c>
      <c r="I1" s="250" t="inlineStr">
        <is>
          <t>Un origem</t>
        </is>
      </c>
      <c r="J1" s="250" t="inlineStr">
        <is>
          <t>QTD origem</t>
        </is>
      </c>
      <c r="K1" s="250" t="inlineStr">
        <is>
          <t>R$ Unit. origem</t>
        </is>
      </c>
      <c r="L1" s="250" t="inlineStr">
        <is>
          <t>R$ Total origem</t>
        </is>
      </c>
      <c r="N1" s="240" t="inlineStr">
        <is>
          <t>Resumo do preenchimento</t>
        </is>
      </c>
      <c r="O1" s="240" t="str"/>
    </row>
    <row r="2">
      <c r="A2" s="251" t="inlineStr">
        <is>
          <t>PREENCHIDO</t>
        </is>
      </c>
      <c r="B2" s="251" t="n">
        <v>4</v>
      </c>
      <c r="C2" s="251" t="n">
        <v>1</v>
      </c>
      <c r="D2" s="251" t="inlineStr">
        <is>
          <t>Alicate compressão hidráulica 12 t - Acionamento Manual NTC 890020</t>
        </is>
      </c>
      <c r="E2" s="251" t="n">
        <v>1</v>
      </c>
      <c r="F2" s="277" t="n">
        <v>4990</v>
      </c>
      <c r="G2" s="251" t="inlineStr">
        <is>
          <t>1</t>
        </is>
      </c>
      <c r="H2" s="251" t="inlineStr">
        <is>
          <t>Alicate compressão hidráulica 12Ton com estojo sem matrizes e 32mm abertura cabeçote</t>
        </is>
      </c>
      <c r="I2" s="251" t="inlineStr">
        <is>
          <t>PC</t>
        </is>
      </c>
      <c r="J2" s="251" t="n">
        <v>1</v>
      </c>
      <c r="K2" s="277" t="n">
        <v>4990</v>
      </c>
      <c r="L2" s="277" t="n">
        <v>4990</v>
      </c>
      <c r="N2" t="inlineStr">
        <is>
          <t>Linhas analisadas</t>
        </is>
      </c>
      <c r="O2" t="n">
        <v>100</v>
      </c>
    </row>
    <row r="3">
      <c r="A3" s="251" t="inlineStr">
        <is>
          <t>PREENCHIDO</t>
        </is>
      </c>
      <c r="B3" s="251" t="n">
        <v>5</v>
      </c>
      <c r="C3" s="251" t="n">
        <v>2</v>
      </c>
      <c r="D3" s="251" t="inlineStr">
        <is>
          <t>Alicate compressão mecânica 4 t</t>
        </is>
      </c>
      <c r="E3" s="251" t="n">
        <v>1</v>
      </c>
      <c r="F3" s="277" t="n">
        <v>1250</v>
      </c>
      <c r="G3" s="251" t="inlineStr">
        <is>
          <t>2</t>
        </is>
      </c>
      <c r="H3" s="251" t="inlineStr">
        <is>
          <t>Alicate comp. mecanica 4Ton. sem estojo com matrizes fixa D3 e BG sem matrizes avulsas</t>
        </is>
      </c>
      <c r="I3" s="251" t="inlineStr">
        <is>
          <t>PC</t>
        </is>
      </c>
      <c r="J3" s="251" t="n">
        <v>1</v>
      </c>
      <c r="K3" s="277" t="n">
        <v>1250</v>
      </c>
      <c r="L3" s="277" t="n">
        <v>1250</v>
      </c>
      <c r="N3" t="inlineStr">
        <is>
          <t>Preenchidas</t>
        </is>
      </c>
      <c r="O3" t="n">
        <v>74</v>
      </c>
    </row>
    <row r="4">
      <c r="A4" s="251" t="inlineStr">
        <is>
          <t>PREENCHIDO</t>
        </is>
      </c>
      <c r="B4" s="251" t="n">
        <v>6</v>
      </c>
      <c r="C4" s="251" t="n">
        <v>3</v>
      </c>
      <c r="D4" s="251" t="inlineStr">
        <is>
          <t>Alicate prendedor com lâmina deslizante (bomba d’água) de 305 mm de comprimento</t>
        </is>
      </c>
      <c r="E4" s="251" t="n">
        <v>1</v>
      </c>
      <c r="F4" s="277" t="n">
        <v>138</v>
      </c>
      <c r="G4" s="251" t="inlineStr">
        <is>
          <t>3</t>
        </is>
      </c>
      <c r="H4" s="251" t="inlineStr">
        <is>
          <t>Alicate bomba d'água 12'' Isolado 1000V - Tramontina Pro - Promo</t>
        </is>
      </c>
      <c r="I4" s="251" t="inlineStr">
        <is>
          <t>PC</t>
        </is>
      </c>
      <c r="J4" s="251" t="n">
        <v>1</v>
      </c>
      <c r="K4" s="277" t="n">
        <v>138</v>
      </c>
      <c r="L4" s="277" t="n">
        <v>138</v>
      </c>
      <c r="N4" t="inlineStr">
        <is>
          <t>Não preenchidas</t>
        </is>
      </c>
      <c r="O4" t="n">
        <v>26</v>
      </c>
    </row>
    <row r="5">
      <c r="A5" s="251" t="inlineStr">
        <is>
          <t>PREENCHIDO</t>
        </is>
      </c>
      <c r="B5" s="251" t="n">
        <v>7</v>
      </c>
      <c r="C5" s="251" t="n">
        <v>4</v>
      </c>
      <c r="D5" s="251" t="inlineStr">
        <is>
          <t>Alicate tipo algema para corte de cabo CAA</t>
        </is>
      </c>
      <c r="E5" s="251" t="n">
        <v>1</v>
      </c>
      <c r="F5" s="277" t="n">
        <v>1190</v>
      </c>
      <c r="G5" s="251" t="inlineStr">
        <is>
          <t>4</t>
        </is>
      </c>
      <c r="H5" s="251" t="inlineStr">
        <is>
          <t>Alicate de corte para cabo de alum./cobre sem alma de aço até 48mm de diâmetro( 400mm2 )</t>
        </is>
      </c>
      <c r="I5" s="251" t="inlineStr">
        <is>
          <t>PC</t>
        </is>
      </c>
      <c r="J5" s="251" t="n">
        <v>1</v>
      </c>
      <c r="K5" s="277" t="n">
        <v>1190</v>
      </c>
      <c r="L5" s="277" t="n">
        <v>1190</v>
      </c>
      <c r="N5" t="inlineStr">
        <is>
          <t>Critério</t>
        </is>
      </c>
      <c r="O5" t="inlineStr">
        <is>
          <t>Correspondência manual/semântica entre descrição destino e Lista de materiais</t>
        </is>
      </c>
    </row>
    <row r="6">
      <c r="A6" s="251" t="inlineStr">
        <is>
          <t>PREENCHIDO</t>
        </is>
      </c>
      <c r="B6" s="251" t="n">
        <v>8</v>
      </c>
      <c r="C6" s="251" t="n">
        <v>5</v>
      </c>
      <c r="D6" s="251" t="inlineStr">
        <is>
          <t>Alicate universal (200mm) cobertura isolada</t>
        </is>
      </c>
      <c r="E6" s="251" t="n">
        <v>3</v>
      </c>
      <c r="F6" s="277" t="n">
        <v>46</v>
      </c>
      <c r="G6" s="251" t="inlineStr">
        <is>
          <t>5</t>
        </is>
      </c>
      <c r="H6" s="251" t="inlineStr">
        <is>
          <t>Alicate tipo universal ( cabo laranja ) 8" isolação 1000V - Sata</t>
        </is>
      </c>
      <c r="I6" s="251" t="inlineStr">
        <is>
          <t>PC</t>
        </is>
      </c>
      <c r="J6" s="251" t="n">
        <v>3</v>
      </c>
      <c r="K6" s="277" t="n">
        <v>46</v>
      </c>
      <c r="L6" s="277" t="n">
        <v>138</v>
      </c>
      <c r="N6" t="inlineStr">
        <is>
          <t>Observação</t>
        </is>
      </c>
      <c r="O6" t="inlineStr">
        <is>
          <t>Itens sem correspondência segura foram mantidos em branco para evitar valor incorreto.</t>
        </is>
      </c>
    </row>
    <row r="7">
      <c r="A7" s="251" t="inlineStr">
        <is>
          <t>PREENCHIDO</t>
        </is>
      </c>
      <c r="B7" s="251" t="n">
        <v>9</v>
      </c>
      <c r="C7" s="251" t="n">
        <v>6</v>
      </c>
      <c r="D7" s="251" t="inlineStr">
        <is>
          <t>Arco de serra (300 mm) com lâmina</t>
        </is>
      </c>
      <c r="E7" s="251" t="n">
        <v>1</v>
      </c>
      <c r="F7" s="277" t="n">
        <v>25</v>
      </c>
      <c r="G7" s="251" t="inlineStr">
        <is>
          <t>6</t>
        </is>
      </c>
      <c r="H7" s="251" t="inlineStr">
        <is>
          <t>Arco de serra regulável 12" - Starfer</t>
        </is>
      </c>
      <c r="I7" s="251" t="inlineStr">
        <is>
          <t>PC</t>
        </is>
      </c>
      <c r="J7" s="251" t="n">
        <v>1</v>
      </c>
      <c r="K7" s="277" t="n">
        <v>25</v>
      </c>
      <c r="L7" s="277" t="n">
        <v>25</v>
      </c>
    </row>
    <row r="8">
      <c r="A8" s="251" t="inlineStr">
        <is>
          <t>PREENCHIDO</t>
        </is>
      </c>
      <c r="B8" s="251" t="n">
        <v>10</v>
      </c>
      <c r="C8" s="251" t="n">
        <v>7</v>
      </c>
      <c r="D8" s="251" t="inlineStr">
        <is>
          <t>Balde de lona para içar materiais</t>
        </is>
      </c>
      <c r="E8" s="251" t="n">
        <v>2</v>
      </c>
      <c r="F8" s="277" t="n">
        <v>46</v>
      </c>
      <c r="G8" s="251" t="inlineStr">
        <is>
          <t>7</t>
        </is>
      </c>
      <c r="H8" s="251" t="inlineStr">
        <is>
          <t>Balde 30cmx35cm fundo sintético com alça de fita -</t>
        </is>
      </c>
      <c r="I8" s="251" t="inlineStr">
        <is>
          <t>PC</t>
        </is>
      </c>
      <c r="J8" s="251" t="n">
        <v>2</v>
      </c>
      <c r="K8" s="277" t="n">
        <v>46</v>
      </c>
      <c r="L8" s="277" t="n">
        <v>92</v>
      </c>
    </row>
    <row r="9">
      <c r="A9" s="251" t="inlineStr">
        <is>
          <t>PREENCHIDO</t>
        </is>
      </c>
      <c r="B9" s="251" t="n">
        <v>11</v>
      </c>
      <c r="C9" s="251" t="n">
        <v>8</v>
      </c>
      <c r="D9" s="251" t="inlineStr">
        <is>
          <t>Bandeira sinalizadora de 300 X 300 mm 1073</t>
        </is>
      </c>
      <c r="E9" s="251" t="n">
        <v>1</v>
      </c>
      <c r="F9" s="277" t="n">
        <v>23.5</v>
      </c>
      <c r="G9" s="251" t="inlineStr">
        <is>
          <t>8</t>
        </is>
      </c>
      <c r="H9" s="251" t="inlineStr">
        <is>
          <t>Bandeirola de nylon KP cor laranja 30x40cm com ilhoses e bastão</t>
        </is>
      </c>
      <c r="I9" s="251" t="inlineStr">
        <is>
          <t>PC</t>
        </is>
      </c>
      <c r="J9" s="251" t="n">
        <v>1</v>
      </c>
      <c r="K9" s="277" t="n">
        <v>23.5</v>
      </c>
      <c r="L9" s="277" t="n">
        <v>23.5</v>
      </c>
    </row>
    <row r="10">
      <c r="A10" s="251" t="inlineStr">
        <is>
          <t>NÃO PREENCHIDO - sem correspondente seguro</t>
        </is>
      </c>
      <c r="B10" s="251" t="n">
        <v>12</v>
      </c>
      <c r="C10" s="251" t="n">
        <v>9</v>
      </c>
      <c r="D10" s="251" t="inlineStr">
        <is>
          <t>Bandeja para ferramentas</t>
        </is>
      </c>
      <c r="E10" s="251" t="n">
        <v>1</v>
      </c>
      <c r="F10" s="277" t="n"/>
      <c r="G10" s="251" t="str"/>
      <c r="H10" s="251" t="str"/>
      <c r="I10" s="251" t="str"/>
      <c r="J10" s="251" t="str"/>
      <c r="K10" s="277" t="str"/>
      <c r="L10" s="277" t="str"/>
    </row>
    <row r="11">
      <c r="A11" s="251" t="inlineStr">
        <is>
          <t>PREENCHIDO</t>
        </is>
      </c>
      <c r="B11" s="251" t="n">
        <v>13</v>
      </c>
      <c r="C11" s="251" t="n">
        <v>10</v>
      </c>
      <c r="D11" s="251" t="inlineStr">
        <is>
          <t>Bastão de tração com espiral 32 x 700 mm</t>
        </is>
      </c>
      <c r="E11" s="251" t="n">
        <v>3</v>
      </c>
      <c r="F11" s="277" t="n">
        <v>890</v>
      </c>
      <c r="G11" s="251" t="inlineStr">
        <is>
          <t>9</t>
        </is>
      </c>
      <c r="H11" s="251" t="inlineStr">
        <is>
          <t>Bastão de tração com espiral 32mmx0,70m com 0,29m isolante para LV</t>
        </is>
      </c>
      <c r="I11" s="251" t="inlineStr">
        <is>
          <t>PC</t>
        </is>
      </c>
      <c r="J11" s="251" t="n">
        <v>3</v>
      </c>
      <c r="K11" s="277" t="n">
        <v>890</v>
      </c>
      <c r="L11" s="277" t="n">
        <v>2670</v>
      </c>
    </row>
    <row r="12">
      <c r="A12" s="251" t="inlineStr">
        <is>
          <t>PREENCHIDO</t>
        </is>
      </c>
      <c r="B12" s="251" t="n">
        <v>14</v>
      </c>
      <c r="C12" s="251" t="n">
        <v>11</v>
      </c>
      <c r="D12" s="251" t="inlineStr">
        <is>
          <t>Bastão garra 38 x 2345 mm</t>
        </is>
      </c>
      <c r="E12" s="251" t="n">
        <v>1</v>
      </c>
      <c r="F12" s="277" t="n">
        <v>1790</v>
      </c>
      <c r="G12" s="251" t="inlineStr">
        <is>
          <t>10</t>
        </is>
      </c>
      <c r="H12" s="251" t="inlineStr">
        <is>
          <t>Bastão garra 38mmx3,40m com 2,96m isolante para LV</t>
        </is>
      </c>
      <c r="I12" s="251" t="inlineStr">
        <is>
          <t>PC</t>
        </is>
      </c>
      <c r="J12" s="251" t="n">
        <v>1</v>
      </c>
      <c r="K12" s="277" t="n">
        <v>1790</v>
      </c>
      <c r="L12" s="277" t="n">
        <v>1790</v>
      </c>
    </row>
    <row r="13">
      <c r="A13" s="251" t="inlineStr">
        <is>
          <t>PREENCHIDO</t>
        </is>
      </c>
      <c r="B13" s="251" t="n">
        <v>15</v>
      </c>
      <c r="C13" s="251" t="n">
        <v>12</v>
      </c>
      <c r="D13" s="251" t="inlineStr">
        <is>
          <t>Bastão garra 64 x 3510 mm</t>
        </is>
      </c>
      <c r="E13" s="251" t="n">
        <v>1</v>
      </c>
      <c r="F13" s="277" t="n">
        <v>2980</v>
      </c>
      <c r="G13" s="251" t="inlineStr">
        <is>
          <t>11</t>
        </is>
      </c>
      <c r="H13" s="251" t="inlineStr">
        <is>
          <t>Bastão garra 64mmx3,95m com 3,51m isolante para LV</t>
        </is>
      </c>
      <c r="I13" s="251" t="inlineStr">
        <is>
          <t>PC</t>
        </is>
      </c>
      <c r="J13" s="251" t="n">
        <v>1</v>
      </c>
      <c r="K13" s="277" t="n">
        <v>2980</v>
      </c>
      <c r="L13" s="277" t="n">
        <v>2980</v>
      </c>
    </row>
    <row r="14">
      <c r="A14" s="251" t="inlineStr">
        <is>
          <t>PREENCHIDO</t>
        </is>
      </c>
      <c r="B14" s="251" t="n">
        <v>16</v>
      </c>
      <c r="C14" s="251" t="n">
        <v>13</v>
      </c>
      <c r="D14" s="251" t="inlineStr">
        <is>
          <t>Bastão universal 32 x 2550 mm</t>
        </is>
      </c>
      <c r="E14" s="251" t="n">
        <v>1</v>
      </c>
      <c r="F14" s="277" t="n">
        <v>510</v>
      </c>
      <c r="G14" s="251" t="inlineStr">
        <is>
          <t>12</t>
        </is>
      </c>
      <c r="H14" s="251" t="inlineStr">
        <is>
          <t>Bastão universal 2 cabeçotes 32mm x 2,20m para LV</t>
        </is>
      </c>
      <c r="I14" s="251" t="inlineStr">
        <is>
          <t>PC</t>
        </is>
      </c>
      <c r="J14" s="251" t="n">
        <v>1</v>
      </c>
      <c r="K14" s="277" t="n">
        <v>510</v>
      </c>
      <c r="L14" s="277" t="n">
        <v>510</v>
      </c>
    </row>
    <row r="15">
      <c r="A15" s="251" t="inlineStr">
        <is>
          <t>NÃO PREENCHIDO - sem correspondente seguro</t>
        </is>
      </c>
      <c r="B15" s="251" t="n">
        <v>17</v>
      </c>
      <c r="C15" s="251" t="n">
        <v>14</v>
      </c>
      <c r="D15" s="251" t="inlineStr">
        <is>
          <t>Binóculo</t>
        </is>
      </c>
      <c r="E15" s="251" t="n">
        <v>1</v>
      </c>
      <c r="F15" s="277" t="n"/>
      <c r="G15" s="251" t="str"/>
      <c r="H15" s="251" t="str"/>
      <c r="I15" s="251" t="str"/>
      <c r="J15" s="251" t="str"/>
      <c r="K15" s="277" t="str"/>
      <c r="L15" s="277" t="str"/>
    </row>
    <row r="16">
      <c r="A16" s="251" t="inlineStr">
        <is>
          <t>PREENCHIDO</t>
        </is>
      </c>
      <c r="B16" s="251" t="n">
        <v>18</v>
      </c>
      <c r="C16" s="251" t="n">
        <v>15</v>
      </c>
      <c r="D16" s="251" t="inlineStr">
        <is>
          <t>Bolsa de lona para proteção de luva de borracha</t>
        </is>
      </c>
      <c r="E16" s="251" t="n">
        <v>6</v>
      </c>
      <c r="F16" s="277" t="n">
        <v>40</v>
      </c>
      <c r="G16" s="251" t="inlineStr">
        <is>
          <t>13</t>
        </is>
      </c>
      <c r="H16" s="251" t="inlineStr">
        <is>
          <t>Bolsa para luvas isolantes tipo dupla 48cmx20cmx16cm - em lona verde</t>
        </is>
      </c>
      <c r="I16" s="251" t="inlineStr">
        <is>
          <t>PC</t>
        </is>
      </c>
      <c r="J16" s="251" t="n">
        <v>6</v>
      </c>
      <c r="K16" s="277" t="n">
        <v>40</v>
      </c>
      <c r="L16" s="277" t="n">
        <v>240</v>
      </c>
    </row>
    <row r="17">
      <c r="A17" s="251" t="inlineStr">
        <is>
          <t>PREENCHIDO</t>
        </is>
      </c>
      <c r="B17" s="251" t="n">
        <v>19</v>
      </c>
      <c r="C17" s="251" t="n">
        <v>16</v>
      </c>
      <c r="D17" s="251" t="inlineStr">
        <is>
          <t>Botão para manga de borracha</t>
        </is>
      </c>
      <c r="E17" s="251" t="n">
        <v>9</v>
      </c>
      <c r="F17" s="277" t="n">
        <v>12</v>
      </c>
      <c r="G17" s="251" t="inlineStr">
        <is>
          <t>14</t>
        </is>
      </c>
      <c r="H17" s="251" t="inlineStr">
        <is>
          <t>Botão manga isolante</t>
        </is>
      </c>
      <c r="I17" s="251" t="inlineStr">
        <is>
          <t>PC</t>
        </is>
      </c>
      <c r="J17" s="251" t="n">
        <v>9</v>
      </c>
      <c r="K17" s="277" t="n">
        <v>12</v>
      </c>
      <c r="L17" s="277" t="n">
        <v>108</v>
      </c>
    </row>
    <row r="18">
      <c r="A18" s="251" t="inlineStr">
        <is>
          <t>NÃO PREENCHIDO - sem correspondente seguro</t>
        </is>
      </c>
      <c r="B18" s="251" t="n">
        <v>20</v>
      </c>
      <c r="C18" s="251" t="n">
        <v>17</v>
      </c>
      <c r="D18" s="251" t="inlineStr">
        <is>
          <t>Bypass,Porta Fusível;290-430MM</t>
        </is>
      </c>
      <c r="E18" s="251" t="n">
        <v>1</v>
      </c>
      <c r="F18" s="277" t="n"/>
      <c r="G18" s="251" t="str"/>
      <c r="H18" s="251" t="str"/>
      <c r="I18" s="251" t="str"/>
      <c r="J18" s="251" t="str"/>
      <c r="K18" s="277" t="str"/>
      <c r="L18" s="277" t="str"/>
    </row>
    <row r="19">
      <c r="A19" s="251" t="inlineStr">
        <is>
          <t>PREENCHIDO</t>
        </is>
      </c>
      <c r="B19" s="251" t="n">
        <v>21</v>
      </c>
      <c r="C19" s="251" t="n">
        <v>18</v>
      </c>
      <c r="D19" s="251" t="inlineStr">
        <is>
          <t>Cabeçote (arpão) para operar chave fusível com terminal universal</t>
        </is>
      </c>
      <c r="E19" s="251" t="n">
        <v>1</v>
      </c>
      <c r="F19" s="277" t="n">
        <v>51</v>
      </c>
      <c r="G19" s="251" t="inlineStr">
        <is>
          <t>15</t>
        </is>
      </c>
      <c r="H19" s="251" t="inlineStr">
        <is>
          <t>Cabeçote para operação de chaves tipo desconector</t>
        </is>
      </c>
      <c r="I19" s="251" t="inlineStr">
        <is>
          <t>PC</t>
        </is>
      </c>
      <c r="J19" s="251" t="n">
        <v>1</v>
      </c>
      <c r="K19" s="277" t="n">
        <v>51</v>
      </c>
      <c r="L19" s="277" t="n">
        <v>51</v>
      </c>
    </row>
    <row r="20">
      <c r="A20" s="251" t="inlineStr">
        <is>
          <t>PREENCHIDO</t>
        </is>
      </c>
      <c r="B20" s="251" t="n">
        <v>22</v>
      </c>
      <c r="C20" s="251" t="n">
        <v>19</v>
      </c>
      <c r="D20" s="251" t="inlineStr">
        <is>
          <t>Cabeçote olhal sem isolador</t>
        </is>
      </c>
      <c r="E20" s="251" t="n">
        <v>1</v>
      </c>
      <c r="F20" s="277" t="n">
        <v>990</v>
      </c>
      <c r="G20" s="251" t="inlineStr">
        <is>
          <t>16</t>
        </is>
      </c>
      <c r="H20" s="251" t="inlineStr">
        <is>
          <t>Cabeçote olhal ( grande ) para conexão do bastão mastro com olhal ou garra ou içador p/ LV</t>
        </is>
      </c>
      <c r="I20" s="251" t="inlineStr">
        <is>
          <t>PC</t>
        </is>
      </c>
      <c r="J20" s="251" t="n">
        <v>1</v>
      </c>
      <c r="K20" s="277" t="n">
        <v>990</v>
      </c>
      <c r="L20" s="277" t="n">
        <v>990</v>
      </c>
    </row>
    <row r="21">
      <c r="A21" s="251" t="inlineStr">
        <is>
          <t>PREENCHIDO</t>
        </is>
      </c>
      <c r="B21" s="251" t="n">
        <v>23</v>
      </c>
      <c r="C21" s="251" t="n">
        <v>20</v>
      </c>
      <c r="D21" s="251" t="inlineStr">
        <is>
          <t>Cabo 35 mm² isolado para 15 kV/200 A (metros) 3 de 4m 2m 1m</t>
        </is>
      </c>
      <c r="E21" s="251" t="n">
        <v>21</v>
      </c>
      <c r="F21" s="277" t="n">
        <v>220</v>
      </c>
      <c r="G21" s="251" t="inlineStr">
        <is>
          <t>17</t>
        </is>
      </c>
      <c r="H21" s="251" t="inlineStr">
        <is>
          <t>Cabo de cobre flexível 2AWG ( 200A ) protegido cor laranja 15KV para LV</t>
        </is>
      </c>
      <c r="I21" s="251" t="inlineStr">
        <is>
          <t>MT</t>
        </is>
      </c>
      <c r="J21" s="251" t="n">
        <v>21</v>
      </c>
      <c r="K21" s="277" t="n">
        <v>220</v>
      </c>
      <c r="L21" s="277" t="n">
        <v>4620</v>
      </c>
    </row>
    <row r="22">
      <c r="A22" s="251" t="inlineStr">
        <is>
          <t>PREENCHIDO</t>
        </is>
      </c>
      <c r="B22" s="251" t="n">
        <v>24</v>
      </c>
      <c r="C22" s="251" t="n">
        <v>21</v>
      </c>
      <c r="D22" s="251" t="inlineStr">
        <is>
          <t>Cabo 70 mm² isolado para 15 kV/300 A (metros) 3 de 4m 1m</t>
        </is>
      </c>
      <c r="E22" s="251" t="n">
        <v>15</v>
      </c>
      <c r="F22" s="277" t="n">
        <v>317</v>
      </c>
      <c r="G22" s="251" t="inlineStr">
        <is>
          <t>18</t>
        </is>
      </c>
      <c r="H22" s="251" t="inlineStr">
        <is>
          <t>Cabo de cobre flexível 2/0 ( 300A ) protegido cor laranja 15KV para LV</t>
        </is>
      </c>
      <c r="I22" s="251" t="inlineStr">
        <is>
          <t>MT</t>
        </is>
      </c>
      <c r="J22" s="251" t="n">
        <v>15</v>
      </c>
      <c r="K22" s="277" t="n">
        <v>317</v>
      </c>
      <c r="L22" s="277" t="n">
        <v>4755</v>
      </c>
    </row>
    <row r="23">
      <c r="A23" s="251" t="inlineStr">
        <is>
          <t>PREENCHIDO</t>
        </is>
      </c>
      <c r="B23" s="251" t="n">
        <v>25</v>
      </c>
      <c r="C23" s="251" t="n">
        <v>22</v>
      </c>
      <c r="D23" s="251" t="inlineStr">
        <is>
          <t>Cabo 70 mm² isolado para 34,5 kV/300 A (metros) 3 de 4m 2m 1m</t>
        </is>
      </c>
      <c r="E23" s="251" t="n">
        <v>21</v>
      </c>
      <c r="F23" s="277" t="n">
        <v>680</v>
      </c>
      <c r="G23" s="251" t="inlineStr">
        <is>
          <t>19</t>
        </is>
      </c>
      <c r="H23" s="251" t="inlineStr">
        <is>
          <t>Cabo de cobre flexível 2/0 ( 300A ) protegido cor laranja 35KV para LV</t>
        </is>
      </c>
      <c r="I23" s="251" t="inlineStr">
        <is>
          <t>MT</t>
        </is>
      </c>
      <c r="J23" s="251" t="n">
        <v>21</v>
      </c>
      <c r="K23" s="277" t="n">
        <v>680</v>
      </c>
      <c r="L23" s="277" t="n">
        <v>14280</v>
      </c>
    </row>
    <row r="24">
      <c r="A24" s="251" t="inlineStr">
        <is>
          <t>PREENCHIDO</t>
        </is>
      </c>
      <c r="B24" s="251" t="n">
        <v>26</v>
      </c>
      <c r="C24" s="251" t="n">
        <v>23</v>
      </c>
      <c r="D24" s="251" t="inlineStr">
        <is>
          <t>Capacete com protetor facial  ETS 1086</t>
        </is>
      </c>
      <c r="E24" s="251" t="n">
        <v>1</v>
      </c>
      <c r="F24" s="277" t="n">
        <v>750</v>
      </c>
      <c r="G24" s="251" t="inlineStr">
        <is>
          <t>20</t>
        </is>
      </c>
      <c r="H24" s="251" t="inlineStr">
        <is>
          <t>Kit protetor facial p/arco elétrico ATPV 18,4cal/cm2 com capacete cor branco - CA 46765</t>
        </is>
      </c>
      <c r="I24" s="251" t="inlineStr">
        <is>
          <t>PC</t>
        </is>
      </c>
      <c r="J24" s="251" t="n">
        <v>1</v>
      </c>
      <c r="K24" s="277" t="n">
        <v>750</v>
      </c>
      <c r="L24" s="277" t="n">
        <v>750</v>
      </c>
    </row>
    <row r="25">
      <c r="A25" s="251" t="inlineStr">
        <is>
          <t>PREENCHIDO</t>
        </is>
      </c>
      <c r="B25" s="251" t="n">
        <v>27</v>
      </c>
      <c r="C25" s="251" t="n">
        <v>24</v>
      </c>
      <c r="D25" s="251" t="inlineStr">
        <is>
          <t>Canivete de 80 mm (bico chato)</t>
        </is>
      </c>
      <c r="E25" s="251" t="n">
        <v>3</v>
      </c>
      <c r="F25" s="277" t="n">
        <v>33</v>
      </c>
      <c r="G25" s="251" t="inlineStr">
        <is>
          <t>22</t>
        </is>
      </c>
      <c r="H25" s="251" t="inlineStr">
        <is>
          <t>Canivete tipo eletricista em aço inox 3" sem estojo</t>
        </is>
      </c>
      <c r="I25" s="251" t="inlineStr">
        <is>
          <t>PC</t>
        </is>
      </c>
      <c r="J25" s="251" t="n">
        <v>3</v>
      </c>
      <c r="K25" s="277" t="n">
        <v>33</v>
      </c>
      <c r="L25" s="277" t="n">
        <v>99</v>
      </c>
    </row>
    <row r="26">
      <c r="A26" s="251" t="inlineStr">
        <is>
          <t>PREENCHIDO</t>
        </is>
      </c>
      <c r="B26" s="251" t="n">
        <v>28</v>
      </c>
      <c r="C26" s="251" t="n">
        <v>25</v>
      </c>
      <c r="D26" s="251" t="inlineStr">
        <is>
          <t>Carretilha para içar materiais</t>
        </is>
      </c>
      <c r="E26" s="251" t="n">
        <v>2</v>
      </c>
      <c r="F26" s="277" t="n">
        <v>118</v>
      </c>
      <c r="G26" s="251" t="inlineStr">
        <is>
          <t>23</t>
        </is>
      </c>
      <c r="H26" s="251" t="inlineStr">
        <is>
          <t>Carretilha em aluminio p/ içar ferramentas com trava</t>
        </is>
      </c>
      <c r="I26" s="251" t="inlineStr">
        <is>
          <t>PC</t>
        </is>
      </c>
      <c r="J26" s="251" t="n">
        <v>2</v>
      </c>
      <c r="K26" s="277" t="n">
        <v>118</v>
      </c>
      <c r="L26" s="277" t="n">
        <v>236</v>
      </c>
    </row>
    <row r="27">
      <c r="A27" s="251" t="inlineStr">
        <is>
          <t>PREENCHIDO</t>
        </is>
      </c>
      <c r="B27" s="251" t="n">
        <v>29</v>
      </c>
      <c r="C27" s="251" t="n">
        <v>26</v>
      </c>
      <c r="D27" s="251" t="inlineStr">
        <is>
          <t>Chave Combinada 17 mm</t>
        </is>
      </c>
      <c r="E27" s="251" t="n">
        <v>2</v>
      </c>
      <c r="F27" s="277" t="n">
        <v>98</v>
      </c>
      <c r="G27" s="251" t="inlineStr">
        <is>
          <t>24</t>
        </is>
      </c>
      <c r="H27" s="251" t="inlineStr">
        <is>
          <t>Chave catraca estrela isolado 1000V 17mm - com teste atual</t>
        </is>
      </c>
      <c r="I27" s="251" t="inlineStr">
        <is>
          <t>PC</t>
        </is>
      </c>
      <c r="J27" s="251" t="n">
        <v>2</v>
      </c>
      <c r="K27" s="277" t="n">
        <v>98</v>
      </c>
      <c r="L27" s="277" t="n">
        <v>196</v>
      </c>
    </row>
    <row r="28">
      <c r="A28" s="251" t="inlineStr">
        <is>
          <t>PREENCHIDO</t>
        </is>
      </c>
      <c r="B28" s="251" t="n">
        <v>30</v>
      </c>
      <c r="C28" s="251" t="n">
        <v>27</v>
      </c>
      <c r="D28" s="251" t="inlineStr">
        <is>
          <t>Chave Combinada 19 mm</t>
        </is>
      </c>
      <c r="E28" s="251" t="n">
        <v>2</v>
      </c>
      <c r="F28" s="277" t="n">
        <v>102</v>
      </c>
      <c r="G28" s="251" t="inlineStr">
        <is>
          <t>25</t>
        </is>
      </c>
      <c r="H28" s="251" t="inlineStr">
        <is>
          <t>Chave catraca estrela isolado 1000V 19mm - com teste atual</t>
        </is>
      </c>
      <c r="I28" s="251" t="inlineStr">
        <is>
          <t>PC</t>
        </is>
      </c>
      <c r="J28" s="251" t="n">
        <v>2</v>
      </c>
      <c r="K28" s="277" t="n">
        <v>102</v>
      </c>
      <c r="L28" s="277" t="n">
        <v>204</v>
      </c>
    </row>
    <row r="29">
      <c r="A29" s="251" t="inlineStr">
        <is>
          <t>PREENCHIDO</t>
        </is>
      </c>
      <c r="B29" s="251" t="n">
        <v>31</v>
      </c>
      <c r="C29" s="251" t="n">
        <v>28</v>
      </c>
      <c r="D29" s="251" t="inlineStr">
        <is>
          <t>Chave de fenda 100 x 3,5 mm, com cobertura isolada para 1kV</t>
        </is>
      </c>
      <c r="E29" s="251" t="n">
        <v>3</v>
      </c>
      <c r="F29" s="277" t="n">
        <v>13.6</v>
      </c>
      <c r="G29" s="251" t="inlineStr">
        <is>
          <t>26</t>
        </is>
      </c>
      <c r="H29" s="251" t="inlineStr">
        <is>
          <t>Chave fenda cabo e haste isolada 1000V - 3/16x4 (5x100) Media - Tramontina PRO</t>
        </is>
      </c>
      <c r="I29" s="251" t="inlineStr">
        <is>
          <t>PC</t>
        </is>
      </c>
      <c r="J29" s="251" t="n">
        <v>3</v>
      </c>
      <c r="K29" s="277" t="n">
        <v>13.6</v>
      </c>
      <c r="L29" s="277" t="n">
        <v>40.8</v>
      </c>
    </row>
    <row r="30">
      <c r="A30" s="251" t="inlineStr">
        <is>
          <t>PREENCHIDO</t>
        </is>
      </c>
      <c r="B30" s="251" t="n">
        <v>32</v>
      </c>
      <c r="C30" s="251" t="n">
        <v>29</v>
      </c>
      <c r="D30" s="251" t="inlineStr">
        <is>
          <t>Chave de fenda 150 x 6 mm, com cobertura isolada para 1kV</t>
        </is>
      </c>
      <c r="E30" s="251" t="n">
        <v>3</v>
      </c>
      <c r="F30" s="277" t="n">
        <v>21</v>
      </c>
      <c r="G30" s="251" t="inlineStr">
        <is>
          <t>27</t>
        </is>
      </c>
      <c r="H30" s="251" t="inlineStr">
        <is>
          <t>Chave fenda cabo e haste isolada 1000V - 1/4x6 (6x150) Grande - Tramontina PRO</t>
        </is>
      </c>
      <c r="I30" s="251" t="inlineStr">
        <is>
          <t>PC</t>
        </is>
      </c>
      <c r="J30" s="251" t="n">
        <v>3</v>
      </c>
      <c r="K30" s="277" t="n">
        <v>21</v>
      </c>
      <c r="L30" s="277" t="n">
        <v>63</v>
      </c>
    </row>
    <row r="31">
      <c r="A31" s="251" t="inlineStr">
        <is>
          <t>PREENCHIDO</t>
        </is>
      </c>
      <c r="B31" s="251" t="n">
        <v>33</v>
      </c>
      <c r="C31" s="251" t="n">
        <v>30</v>
      </c>
      <c r="D31" s="251" t="inlineStr">
        <is>
          <t>Chave de fenda 150 x 8 mm, com cobertura isolada para 1kV</t>
        </is>
      </c>
      <c r="E31" s="251" t="n">
        <v>3</v>
      </c>
      <c r="F31" s="277" t="n">
        <v>27.2</v>
      </c>
      <c r="G31" s="251" t="inlineStr">
        <is>
          <t>28</t>
        </is>
      </c>
      <c r="H31" s="251" t="inlineStr">
        <is>
          <t>Chave fenda cabo e haste isolada 1000V - 5/16x8 (8x200) Extra Grande - Tramontina PRO</t>
        </is>
      </c>
      <c r="I31" s="251" t="inlineStr">
        <is>
          <t>PC</t>
        </is>
      </c>
      <c r="J31" s="251" t="n">
        <v>3</v>
      </c>
      <c r="K31" s="277" t="n">
        <v>27.2</v>
      </c>
      <c r="L31" s="277" t="n">
        <v>81.59999999999999</v>
      </c>
    </row>
    <row r="32">
      <c r="A32" s="251" t="inlineStr">
        <is>
          <t>NÃO PREENCHIDO - sem correspondente seguro</t>
        </is>
      </c>
      <c r="B32" s="251" t="n">
        <v>34</v>
      </c>
      <c r="C32" s="251" t="n">
        <v>31</v>
      </c>
      <c r="D32" s="251" t="inlineStr">
        <is>
          <t>Chave estrela 24 x 26 mm, com cobertura isolada para 1kV</t>
        </is>
      </c>
      <c r="E32" s="251" t="n">
        <v>2</v>
      </c>
      <c r="F32" s="277" t="n"/>
      <c r="G32" s="251" t="str"/>
      <c r="H32" s="251" t="str"/>
      <c r="I32" s="251" t="str"/>
      <c r="J32" s="251" t="str"/>
      <c r="K32" s="277" t="str"/>
      <c r="L32" s="277" t="str"/>
    </row>
    <row r="33">
      <c r="A33" s="251" t="inlineStr">
        <is>
          <t>PREENCHIDO</t>
        </is>
      </c>
      <c r="B33" s="251" t="n">
        <v>35</v>
      </c>
      <c r="C33" s="251" t="n">
        <v>32</v>
      </c>
      <c r="D33" s="251" t="inlineStr">
        <is>
          <t>Chave inglesa 300 mm, com cobertura isolada para 1kV</t>
        </is>
      </c>
      <c r="E33" s="251" t="n">
        <v>2</v>
      </c>
      <c r="F33" s="277" t="n">
        <v>170</v>
      </c>
      <c r="G33" s="251" t="inlineStr">
        <is>
          <t>29</t>
        </is>
      </c>
      <c r="H33" s="251" t="inlineStr">
        <is>
          <t>Chave ajustável isolada 1000V tamanho 12" em aço CR-V com limitador e teste atual</t>
        </is>
      </c>
      <c r="I33" s="251" t="inlineStr">
        <is>
          <t>PC</t>
        </is>
      </c>
      <c r="J33" s="251" t="n">
        <v>2</v>
      </c>
      <c r="K33" s="277" t="n">
        <v>170</v>
      </c>
      <c r="L33" s="277" t="n">
        <v>340</v>
      </c>
    </row>
    <row r="34">
      <c r="A34" s="251" t="inlineStr">
        <is>
          <t>PREENCHIDO</t>
        </is>
      </c>
      <c r="B34" s="251" t="n">
        <v>36</v>
      </c>
      <c r="C34" s="251" t="n">
        <v>33</v>
      </c>
      <c r="D34" s="251" t="inlineStr">
        <is>
          <t>Cinta de poliester 2000kg linha viva</t>
        </is>
      </c>
      <c r="E34" s="251" t="n">
        <v>1</v>
      </c>
      <c r="F34" s="277" t="n">
        <v>190</v>
      </c>
      <c r="G34" s="251" t="inlineStr">
        <is>
          <t>30</t>
        </is>
      </c>
      <c r="H34" s="251" t="inlineStr">
        <is>
          <t>Cinta de poliéster eslinga anel tubular capa tripla cor verde 2.000 Kg - Vertical comp. 1,40m</t>
        </is>
      </c>
      <c r="I34" s="251" t="inlineStr">
        <is>
          <t>PC</t>
        </is>
      </c>
      <c r="J34" s="251" t="n">
        <v>1</v>
      </c>
      <c r="K34" s="277" t="n">
        <v>190</v>
      </c>
      <c r="L34" s="277" t="n">
        <v>190</v>
      </c>
    </row>
    <row r="35">
      <c r="A35" s="251" t="inlineStr">
        <is>
          <t>PREENCHIDO - revisar unidade</t>
        </is>
      </c>
      <c r="B35" s="251" t="n">
        <v>37</v>
      </c>
      <c r="C35" s="251" t="n">
        <v>34</v>
      </c>
      <c r="D35" s="251" t="inlineStr">
        <is>
          <t>Cinta para mão francesa – diâmetro 64mm</t>
        </is>
      </c>
      <c r="E35" s="251" t="n">
        <v>1</v>
      </c>
      <c r="F35" s="277" t="n">
        <v>277</v>
      </c>
      <c r="G35" s="251" t="inlineStr">
        <is>
          <t>31</t>
        </is>
      </c>
      <c r="H35" s="251" t="inlineStr">
        <is>
          <t>Cinta para mão francesa 64mm para LV</t>
        </is>
      </c>
      <c r="I35" s="251" t="inlineStr">
        <is>
          <t>PC</t>
        </is>
      </c>
      <c r="J35" s="251" t="n">
        <v>1</v>
      </c>
      <c r="K35" s="277" t="n">
        <v>277</v>
      </c>
      <c r="L35" s="277" t="n">
        <v>277</v>
      </c>
    </row>
    <row r="36">
      <c r="A36" s="251" t="inlineStr">
        <is>
          <t>NÃO PREENCHIDO - sem correspondente seguro</t>
        </is>
      </c>
      <c r="B36" s="251" t="n">
        <v>38</v>
      </c>
      <c r="C36" s="251" t="n">
        <v>35</v>
      </c>
      <c r="D36" s="251" t="inlineStr">
        <is>
          <t>Corda de fibra sintética de polipropileno torcida 10mm (metros)</t>
        </is>
      </c>
      <c r="E36" s="251" t="n">
        <v>30</v>
      </c>
      <c r="F36" s="277" t="n"/>
      <c r="G36" s="251" t="str"/>
      <c r="H36" s="251" t="str"/>
      <c r="I36" s="251" t="str"/>
      <c r="J36" s="251" t="str"/>
      <c r="K36" s="277" t="str"/>
      <c r="L36" s="277" t="str"/>
    </row>
    <row r="37">
      <c r="A37" s="251" t="inlineStr">
        <is>
          <t>PREENCHIDO - revisar unidade</t>
        </is>
      </c>
      <c r="B37" s="251" t="n">
        <v>39</v>
      </c>
      <c r="C37" s="251" t="n">
        <v>36</v>
      </c>
      <c r="D37" s="251" t="inlineStr">
        <is>
          <t>Corda de fibra sintética de polipropileno torcida 12mm (metros)</t>
        </is>
      </c>
      <c r="E37" s="251" t="n">
        <v>90</v>
      </c>
      <c r="F37" s="277" t="n">
        <v>255</v>
      </c>
      <c r="G37" s="251" t="inlineStr">
        <is>
          <t>32</t>
        </is>
      </c>
      <c r="H37" s="251" t="inlineStr">
        <is>
          <t>Corda Torcida PP - Polipropileno 12mm branca rolo com 50mt</t>
        </is>
      </c>
      <c r="I37" s="251" t="inlineStr">
        <is>
          <t>RL</t>
        </is>
      </c>
      <c r="J37" s="251" t="n">
        <v>2</v>
      </c>
      <c r="K37" s="277" t="n">
        <v>255</v>
      </c>
      <c r="L37" s="277" t="n">
        <v>510</v>
      </c>
    </row>
    <row r="38">
      <c r="A38" s="251" t="inlineStr">
        <is>
          <t>PREENCHIDO</t>
        </is>
      </c>
      <c r="B38" s="251" t="n">
        <v>40</v>
      </c>
      <c r="C38" s="251" t="n">
        <v>37</v>
      </c>
      <c r="D38" s="251" t="inlineStr">
        <is>
          <t>Corda de fibra sintética de polipropileno torcida 6mm para cobertura LV (metros)</t>
        </is>
      </c>
      <c r="E38" s="251" t="n">
        <v>10</v>
      </c>
      <c r="F38" s="277" t="n">
        <v>2.2</v>
      </c>
      <c r="G38" s="251" t="inlineStr">
        <is>
          <t>33</t>
        </is>
      </c>
      <c r="H38" s="251" t="inlineStr">
        <is>
          <t>Corda Torcida PP - Polipropileno 6mm branca</t>
        </is>
      </c>
      <c r="I38" s="251" t="inlineStr">
        <is>
          <t>MT</t>
        </is>
      </c>
      <c r="J38" s="251" t="n">
        <v>10</v>
      </c>
      <c r="K38" s="277" t="n">
        <v>2.2</v>
      </c>
      <c r="L38" s="277" t="n">
        <v>22</v>
      </c>
    </row>
    <row r="39">
      <c r="A39" s="251" t="inlineStr">
        <is>
          <t>PREENCHIDO</t>
        </is>
      </c>
      <c r="B39" s="251" t="n">
        <v>41</v>
      </c>
      <c r="C39" s="251" t="n">
        <v>38</v>
      </c>
      <c r="D39" s="251" t="inlineStr">
        <is>
          <t>Corda de sinalização 6mm</t>
        </is>
      </c>
      <c r="E39" s="251" t="n">
        <v>60</v>
      </c>
      <c r="F39" s="277" t="n">
        <v>2.2</v>
      </c>
      <c r="G39" s="251" t="inlineStr">
        <is>
          <t>33</t>
        </is>
      </c>
      <c r="H39" s="251" t="inlineStr">
        <is>
          <t>Corda Torcida PP - Polipropileno 6mm branca</t>
        </is>
      </c>
      <c r="I39" s="251" t="inlineStr">
        <is>
          <t>MT</t>
        </is>
      </c>
      <c r="J39" s="251" t="n">
        <v>10</v>
      </c>
      <c r="K39" s="277" t="n">
        <v>2.2</v>
      </c>
      <c r="L39" s="277" t="n">
        <v>22</v>
      </c>
    </row>
    <row r="40">
      <c r="A40" s="251" t="inlineStr">
        <is>
          <t>PREENCHIDO</t>
        </is>
      </c>
      <c r="B40" s="251" t="n">
        <v>42</v>
      </c>
      <c r="C40" s="251" t="n">
        <v>39</v>
      </c>
      <c r="D40" s="251" t="inlineStr">
        <is>
          <t>Cruzeta auxiliar sem mastro 64 x 2410 mm</t>
        </is>
      </c>
      <c r="E40" s="251" t="n">
        <v>1</v>
      </c>
      <c r="F40" s="277" t="n">
        <v>4350</v>
      </c>
      <c r="G40" s="251" t="inlineStr">
        <is>
          <t>34</t>
        </is>
      </c>
      <c r="H40" s="251" t="inlineStr">
        <is>
          <t>Bastão cruzeta 64mm x 2,39m para LV</t>
        </is>
      </c>
      <c r="I40" s="251" t="inlineStr">
        <is>
          <t>PC</t>
        </is>
      </c>
      <c r="J40" s="251" t="n">
        <v>1</v>
      </c>
      <c r="K40" s="277" t="n">
        <v>4350</v>
      </c>
      <c r="L40" s="277" t="n">
        <v>4350</v>
      </c>
    </row>
    <row r="41">
      <c r="A41" s="251" t="inlineStr">
        <is>
          <t>NÃO PREENCHIDO - sem correspondente seguro</t>
        </is>
      </c>
      <c r="B41" s="251" t="n">
        <v>43</v>
      </c>
      <c r="C41" s="251" t="n">
        <v>40</v>
      </c>
      <c r="D41" s="251" t="inlineStr">
        <is>
          <t>Descascador de meio e ponta CABO PROTEGIDO 15 KV</t>
        </is>
      </c>
      <c r="E41" s="251" t="n">
        <v>1</v>
      </c>
      <c r="F41" s="277" t="n"/>
      <c r="G41" s="251" t="str"/>
      <c r="H41" s="251" t="str"/>
      <c r="I41" s="251" t="str"/>
      <c r="J41" s="251" t="str"/>
      <c r="K41" s="277" t="str"/>
      <c r="L41" s="277" t="str"/>
    </row>
    <row r="42">
      <c r="A42" s="251" t="inlineStr">
        <is>
          <t>NÃO PREENCHIDO - sem correspondente seguro</t>
        </is>
      </c>
      <c r="B42" s="251" t="n">
        <v>44</v>
      </c>
      <c r="C42" s="251" t="n">
        <v>41</v>
      </c>
      <c r="D42" s="251" t="inlineStr">
        <is>
          <t>Descascador de meio e ponta CABO PROTEGIDO 35 KV</t>
        </is>
      </c>
      <c r="E42" s="251" t="n">
        <v>1</v>
      </c>
      <c r="F42" s="277" t="n"/>
      <c r="G42" s="251" t="str"/>
      <c r="H42" s="251" t="str"/>
      <c r="I42" s="251" t="str"/>
      <c r="J42" s="251" t="str"/>
      <c r="K42" s="277" t="str"/>
      <c r="L42" s="277" t="str"/>
    </row>
    <row r="43">
      <c r="A43" s="251" t="inlineStr">
        <is>
          <t>PREENCHIDO</t>
        </is>
      </c>
      <c r="B43" s="251" t="n">
        <v>45</v>
      </c>
      <c r="C43" s="251" t="n">
        <v>42</v>
      </c>
      <c r="D43" s="251" t="inlineStr">
        <is>
          <t>Dispositivo de segurança anti queda do porta fusível - DAQC</t>
        </is>
      </c>
      <c r="E43" s="251" t="n">
        <v>1</v>
      </c>
      <c r="F43" s="277" t="n">
        <v>148</v>
      </c>
      <c r="G43" s="251" t="inlineStr">
        <is>
          <t>35</t>
        </is>
      </c>
      <c r="H43" s="251" t="inlineStr">
        <is>
          <t>Cabeçote anti-queda de cartucho com encaixe universal - DAQC</t>
        </is>
      </c>
      <c r="I43" s="251" t="inlineStr">
        <is>
          <t>PC</t>
        </is>
      </c>
      <c r="J43" s="251" t="n">
        <v>1</v>
      </c>
      <c r="K43" s="277" t="n">
        <v>148</v>
      </c>
      <c r="L43" s="277" t="n">
        <v>148</v>
      </c>
    </row>
    <row r="44">
      <c r="A44" s="251" t="inlineStr">
        <is>
          <t>NÃO PREENCHIDO - sem correspondente seguro</t>
        </is>
      </c>
      <c r="B44" s="251" t="n">
        <v>46</v>
      </c>
      <c r="C44" s="251" t="n">
        <v>43</v>
      </c>
      <c r="D44" s="251" t="inlineStr">
        <is>
          <t>Escada extensível de madeira ou fibra de vidro 4,00 x 7,00 m ETS 1029 ou 1030</t>
        </is>
      </c>
      <c r="E44" s="251" t="n">
        <v>1</v>
      </c>
      <c r="F44" s="277" t="n"/>
      <c r="G44" s="251" t="str"/>
      <c r="H44" s="251" t="str"/>
      <c r="I44" s="251" t="str"/>
      <c r="J44" s="251" t="str"/>
      <c r="K44" s="277" t="str"/>
      <c r="L44" s="277" t="str"/>
    </row>
    <row r="45">
      <c r="A45" s="251" t="inlineStr">
        <is>
          <t>PREENCHIDO</t>
        </is>
      </c>
      <c r="B45" s="251" t="n">
        <v>47</v>
      </c>
      <c r="C45" s="251" t="n">
        <v>44</v>
      </c>
      <c r="D45" s="251" t="inlineStr">
        <is>
          <t>Escova de aço em V para limpeza de cabos</t>
        </is>
      </c>
      <c r="E45" s="251" t="n">
        <v>2</v>
      </c>
      <c r="F45" s="277" t="n">
        <v>180</v>
      </c>
      <c r="G45" s="251" t="inlineStr">
        <is>
          <t>36</t>
        </is>
      </c>
      <c r="H45" s="251" t="inlineStr">
        <is>
          <t>Escova de aço em V cabo de alumínio isolado</t>
        </is>
      </c>
      <c r="I45" s="251" t="inlineStr">
        <is>
          <t>PC</t>
        </is>
      </c>
      <c r="J45" s="251" t="n">
        <v>2</v>
      </c>
      <c r="K45" s="277" t="n">
        <v>180</v>
      </c>
      <c r="L45" s="277" t="n">
        <v>360</v>
      </c>
    </row>
    <row r="46">
      <c r="A46" s="251" t="inlineStr">
        <is>
          <t>PREENCHIDO</t>
        </is>
      </c>
      <c r="B46" s="251" t="n">
        <v>48</v>
      </c>
      <c r="C46" s="251" t="n">
        <v>45</v>
      </c>
      <c r="D46" s="251" t="inlineStr">
        <is>
          <t>Esticador de cabo 4 a 3/0 AWG</t>
        </is>
      </c>
      <c r="E46" s="251" t="n">
        <v>3</v>
      </c>
      <c r="F46" s="277" t="n">
        <v>325</v>
      </c>
      <c r="G46" s="251" t="inlineStr">
        <is>
          <t>37</t>
        </is>
      </c>
      <c r="H46" s="251" t="inlineStr">
        <is>
          <t>Esticador para cabo de alumínio 5,88mm até 11,35mm para LV - PADRÃO COPEL</t>
        </is>
      </c>
      <c r="I46" s="251" t="inlineStr">
        <is>
          <t>PC</t>
        </is>
      </c>
      <c r="J46" s="251" t="n">
        <v>3</v>
      </c>
      <c r="K46" s="277" t="n">
        <v>325</v>
      </c>
      <c r="L46" s="277" t="n">
        <v>975</v>
      </c>
    </row>
    <row r="47">
      <c r="A47" s="251" t="inlineStr">
        <is>
          <t>PREENCHIDO</t>
        </is>
      </c>
      <c r="B47" s="251" t="n">
        <v>49</v>
      </c>
      <c r="C47" s="251" t="n">
        <v>46</v>
      </c>
      <c r="D47" s="251" t="inlineStr">
        <is>
          <t xml:space="preserve">Esticador de cabo 4/0 a 477 </t>
        </is>
      </c>
      <c r="E47" s="251" t="n">
        <v>3</v>
      </c>
      <c r="F47" s="277" t="n">
        <v>610</v>
      </c>
      <c r="G47" s="251" t="inlineStr">
        <is>
          <t>38</t>
        </is>
      </c>
      <c r="H47" s="251" t="inlineStr">
        <is>
          <t>Esticador para cabo de alumínio 10,5mm até 18,29 mm para LV - PADRÃO COPEL</t>
        </is>
      </c>
      <c r="I47" s="251" t="inlineStr">
        <is>
          <t>PC</t>
        </is>
      </c>
      <c r="J47" s="251" t="n">
        <v>3</v>
      </c>
      <c r="K47" s="277" t="n">
        <v>610</v>
      </c>
      <c r="L47" s="277" t="n">
        <v>1830</v>
      </c>
    </row>
    <row r="48">
      <c r="A48" s="251" t="inlineStr">
        <is>
          <t>PREENCHIDO</t>
        </is>
      </c>
      <c r="B48" s="251" t="n">
        <v>50</v>
      </c>
      <c r="C48" s="251" t="n">
        <v>47</v>
      </c>
      <c r="D48" s="251" t="inlineStr">
        <is>
          <t>Esticador de cordoalha de aço de 6 a 9 mm</t>
        </is>
      </c>
      <c r="E48" s="251" t="n">
        <v>2</v>
      </c>
      <c r="F48" s="277" t="n">
        <v>188</v>
      </c>
      <c r="G48" s="251" t="inlineStr">
        <is>
          <t>39</t>
        </is>
      </c>
      <c r="H48" s="251" t="inlineStr">
        <is>
          <t>Esticador meia lua para cabo de aço 3,18mm até 12,70mm</t>
        </is>
      </c>
      <c r="I48" s="251" t="inlineStr">
        <is>
          <t>PC</t>
        </is>
      </c>
      <c r="J48" s="251" t="n">
        <v>2</v>
      </c>
      <c r="K48" s="277" t="n">
        <v>188</v>
      </c>
      <c r="L48" s="277" t="n">
        <v>376</v>
      </c>
    </row>
    <row r="49">
      <c r="A49" s="251" t="inlineStr">
        <is>
          <t>NÃO PREENCHIDO - sem correspondente seguro</t>
        </is>
      </c>
      <c r="B49" s="251" t="n">
        <v>51</v>
      </c>
      <c r="C49" s="251" t="n">
        <v>48</v>
      </c>
      <c r="D49" s="251" t="inlineStr">
        <is>
          <t>Estojo para matrizes, Y-35 e MD-6</t>
        </is>
      </c>
      <c r="E49" s="251" t="n">
        <v>1</v>
      </c>
      <c r="F49" s="277" t="n"/>
      <c r="G49" s="251" t="str"/>
      <c r="H49" s="251" t="str"/>
      <c r="I49" s="251" t="str"/>
      <c r="J49" s="251" t="str"/>
      <c r="K49" s="277" t="str"/>
      <c r="L49" s="277" t="str"/>
    </row>
    <row r="50">
      <c r="A50" s="251" t="inlineStr">
        <is>
          <t>PREENCHIDO</t>
        </is>
      </c>
      <c r="B50" s="251" t="n">
        <v>52</v>
      </c>
      <c r="C50" s="251" t="n">
        <v>49</v>
      </c>
      <c r="D50" s="251" t="inlineStr">
        <is>
          <t>Estribo para mão francesa</t>
        </is>
      </c>
      <c r="E50" s="251" t="n">
        <v>1</v>
      </c>
      <c r="F50" s="277" t="n">
        <v>239</v>
      </c>
      <c r="G50" s="251" t="inlineStr">
        <is>
          <t>40</t>
        </is>
      </c>
      <c r="H50" s="251" t="inlineStr">
        <is>
          <t>Estribo para mão francesa para</t>
        </is>
      </c>
      <c r="I50" s="251" t="inlineStr">
        <is>
          <t>PC</t>
        </is>
      </c>
      <c r="J50" s="251" t="n">
        <v>1</v>
      </c>
      <c r="K50" s="277" t="n">
        <v>239</v>
      </c>
      <c r="L50" s="277" t="n">
        <v>239</v>
      </c>
    </row>
    <row r="51">
      <c r="A51" s="251" t="inlineStr">
        <is>
          <t>PREENCHIDO</t>
        </is>
      </c>
      <c r="B51" s="251" t="n">
        <v>53</v>
      </c>
      <c r="C51" s="251" t="n">
        <v>50</v>
      </c>
      <c r="D51" s="251" t="inlineStr">
        <is>
          <t>Estropo de nylon 500 mm – 455 daN</t>
        </is>
      </c>
      <c r="E51" s="251" t="n">
        <v>3</v>
      </c>
      <c r="F51" s="277" t="n">
        <v>115</v>
      </c>
      <c r="G51" s="251" t="inlineStr">
        <is>
          <t>42</t>
        </is>
      </c>
      <c r="H51" s="251" t="inlineStr">
        <is>
          <t>Estropo de nylon 50mmx500mm - 670 Dan</t>
        </is>
      </c>
      <c r="I51" s="251" t="inlineStr">
        <is>
          <t>PC</t>
        </is>
      </c>
      <c r="J51" s="251" t="n">
        <v>3</v>
      </c>
      <c r="K51" s="277" t="n">
        <v>115</v>
      </c>
      <c r="L51" s="277" t="n">
        <v>345</v>
      </c>
    </row>
    <row r="52">
      <c r="A52" s="251" t="inlineStr">
        <is>
          <t>PREENCHIDO</t>
        </is>
      </c>
      <c r="B52" s="251" t="n">
        <v>54</v>
      </c>
      <c r="C52" s="251" t="n">
        <v>51</v>
      </c>
      <c r="D52" s="251" t="inlineStr">
        <is>
          <t>Estropo de nylon 800mm</t>
        </is>
      </c>
      <c r="E52" s="251" t="n">
        <v>3</v>
      </c>
      <c r="F52" s="277" t="n">
        <v>139</v>
      </c>
      <c r="G52" s="251" t="inlineStr">
        <is>
          <t>41</t>
        </is>
      </c>
      <c r="H52" s="251" t="inlineStr">
        <is>
          <t>Estropo de nylon 50mmx800mm - 670 Dan</t>
        </is>
      </c>
      <c r="I52" s="251" t="inlineStr">
        <is>
          <t>PC</t>
        </is>
      </c>
      <c r="J52" s="251" t="n">
        <v>3</v>
      </c>
      <c r="K52" s="277" t="n">
        <v>139</v>
      </c>
      <c r="L52" s="277" t="n">
        <v>417</v>
      </c>
    </row>
    <row r="53">
      <c r="A53" s="251" t="inlineStr">
        <is>
          <t>PREENCHIDO</t>
        </is>
      </c>
      <c r="B53" s="251" t="n">
        <v>55</v>
      </c>
      <c r="C53" s="251" t="n">
        <v>52</v>
      </c>
      <c r="D53" s="251" t="inlineStr">
        <is>
          <t>Gancho para corda</t>
        </is>
      </c>
      <c r="E53" s="251" t="n">
        <v>1</v>
      </c>
      <c r="F53" s="277" t="n">
        <v>58</v>
      </c>
      <c r="G53" s="251" t="inlineStr">
        <is>
          <t>43</t>
        </is>
      </c>
      <c r="H53" s="251" t="inlineStr">
        <is>
          <t>Gancho em aço para içamento</t>
        </is>
      </c>
      <c r="I53" s="251" t="inlineStr">
        <is>
          <t>PC</t>
        </is>
      </c>
      <c r="J53" s="251" t="n">
        <v>1</v>
      </c>
      <c r="K53" s="277" t="n">
        <v>58</v>
      </c>
      <c r="L53" s="277" t="n">
        <v>58</v>
      </c>
    </row>
    <row r="54">
      <c r="A54" s="251" t="inlineStr">
        <is>
          <t>PREENCHIDO</t>
        </is>
      </c>
      <c r="B54" s="251" t="n">
        <v>56</v>
      </c>
      <c r="C54" s="251" t="n">
        <v>53</v>
      </c>
      <c r="D54" s="251" t="inlineStr">
        <is>
          <t>Grampo de torção para “by-pass”</t>
        </is>
      </c>
      <c r="E54" s="251" t="n">
        <v>6</v>
      </c>
      <c r="F54" s="277" t="n">
        <v>155</v>
      </c>
      <c r="G54" s="251" t="inlineStr">
        <is>
          <t>44</t>
        </is>
      </c>
      <c r="H54" s="251" t="inlineStr">
        <is>
          <t>Grampo de torção e mola para by-pass em LV</t>
        </is>
      </c>
      <c r="I54" s="251" t="inlineStr">
        <is>
          <t>PC</t>
        </is>
      </c>
      <c r="J54" s="251" t="n">
        <v>6</v>
      </c>
      <c r="K54" s="277" t="n">
        <v>155</v>
      </c>
      <c r="L54" s="277" t="n">
        <v>930</v>
      </c>
    </row>
    <row r="55">
      <c r="A55" s="251" t="inlineStr">
        <is>
          <t>PREENCHIDO</t>
        </is>
      </c>
      <c r="B55" s="251" t="n">
        <v>57</v>
      </c>
      <c r="C55" s="251" t="n">
        <v>54</v>
      </c>
      <c r="D55" s="251" t="inlineStr">
        <is>
          <t>Grampo isolado para “by-pass”</t>
        </is>
      </c>
      <c r="E55" s="251" t="n">
        <v>6</v>
      </c>
      <c r="F55" s="277" t="n">
        <v>490</v>
      </c>
      <c r="G55" s="251" t="inlineStr">
        <is>
          <t>45</t>
        </is>
      </c>
      <c r="H55" s="251" t="inlineStr">
        <is>
          <t>Grampo isolado 35kv cor transparente para by-pass em LV</t>
        </is>
      </c>
      <c r="I55" s="251" t="inlineStr">
        <is>
          <t>PC</t>
        </is>
      </c>
      <c r="J55" s="251" t="n">
        <v>6</v>
      </c>
      <c r="K55" s="277" t="n">
        <v>490</v>
      </c>
      <c r="L55" s="277" t="n">
        <v>2940</v>
      </c>
    </row>
    <row r="56">
      <c r="A56" s="251" t="inlineStr">
        <is>
          <t>PREENCHIDO</t>
        </is>
      </c>
      <c r="B56" s="251" t="n">
        <v>58</v>
      </c>
      <c r="C56" s="251" t="n">
        <v>55</v>
      </c>
      <c r="D56" s="251" t="inlineStr">
        <is>
          <t>Içador isolado com cabeçote giratório</t>
        </is>
      </c>
      <c r="E56" s="251" t="n">
        <v>1</v>
      </c>
      <c r="F56" s="277" t="n">
        <v>7310</v>
      </c>
      <c r="G56" s="251" t="inlineStr">
        <is>
          <t>46</t>
        </is>
      </c>
      <c r="H56" s="251" t="inlineStr">
        <is>
          <t>Mastro para içamento de carga 64mm x 1,83m completo para LV</t>
        </is>
      </c>
      <c r="I56" s="251" t="inlineStr">
        <is>
          <t>PC</t>
        </is>
      </c>
      <c r="J56" s="251" t="n">
        <v>1</v>
      </c>
      <c r="K56" s="277" t="n">
        <v>7310</v>
      </c>
      <c r="L56" s="277" t="n">
        <v>7310</v>
      </c>
    </row>
    <row r="57">
      <c r="A57" s="251" t="inlineStr">
        <is>
          <t>PREENCHIDO</t>
        </is>
      </c>
      <c r="B57" s="251" t="n">
        <v>59</v>
      </c>
      <c r="C57" s="251" t="n">
        <v>56</v>
      </c>
      <c r="D57" s="251" t="inlineStr">
        <is>
          <t>Inflador de luvas</t>
        </is>
      </c>
      <c r="E57" s="251" t="n">
        <v>1</v>
      </c>
      <c r="F57" s="277" t="n">
        <v>1460</v>
      </c>
      <c r="G57" s="251" t="inlineStr">
        <is>
          <t>47</t>
        </is>
      </c>
      <c r="H57" s="251" t="inlineStr">
        <is>
          <t>Inflador de luvas modelo leve para LV</t>
        </is>
      </c>
      <c r="I57" s="251" t="inlineStr">
        <is>
          <t>PC</t>
        </is>
      </c>
      <c r="J57" s="251" t="n">
        <v>1</v>
      </c>
      <c r="K57" s="277" t="n">
        <v>1460</v>
      </c>
      <c r="L57" s="277" t="n">
        <v>1460</v>
      </c>
    </row>
    <row r="58">
      <c r="A58" s="251" t="inlineStr">
        <is>
          <t>NÃO PREENCHIDO - sem correspondente seguro</t>
        </is>
      </c>
      <c r="B58" s="251" t="n">
        <v>60</v>
      </c>
      <c r="C58" s="251" t="n">
        <v>57</v>
      </c>
      <c r="D58" s="251" t="inlineStr">
        <is>
          <t xml:space="preserve">Jogo com soquetes de 12 a 28 mm </t>
        </is>
      </c>
      <c r="E58" s="251" t="n">
        <v>1</v>
      </c>
      <c r="F58" s="277" t="n"/>
      <c r="G58" s="251" t="str"/>
      <c r="H58" s="251" t="str"/>
      <c r="I58" s="251" t="str"/>
      <c r="J58" s="251" t="str"/>
      <c r="K58" s="277" t="str"/>
      <c r="L58" s="277" t="str"/>
    </row>
    <row r="59">
      <c r="A59" s="251" t="inlineStr">
        <is>
          <t>PREENCHIDO</t>
        </is>
      </c>
      <c r="B59" s="251" t="n">
        <v>61</v>
      </c>
      <c r="C59" s="251" t="n">
        <v>58</v>
      </c>
      <c r="D59" s="251" t="inlineStr">
        <is>
          <t>Jumper “Little Jumper” para bucha de transformador Composição do Jumper por unidade  3,5 m Cabo Protegido para 15Kv  1 Grampo para bucha de transformador  1 Grampo de Torção  1 Suporte Isolado</t>
        </is>
      </c>
      <c r="E59" s="251" t="n">
        <v>3</v>
      </c>
      <c r="F59" s="277" t="n">
        <v>2450</v>
      </c>
      <c r="G59" s="251" t="inlineStr">
        <is>
          <t>48</t>
        </is>
      </c>
      <c r="H59" s="251" t="inlineStr">
        <is>
          <t>Jampe temporário para bucha de transformador cabo isolado 15Kv</t>
        </is>
      </c>
      <c r="I59" s="251" t="inlineStr">
        <is>
          <t>PC</t>
        </is>
      </c>
      <c r="J59" s="251" t="n">
        <v>3</v>
      </c>
      <c r="K59" s="277" t="n">
        <v>2450</v>
      </c>
      <c r="L59" s="277" t="n">
        <v>7350</v>
      </c>
    </row>
    <row r="60">
      <c r="A60" s="251" t="inlineStr">
        <is>
          <t>PREENCHIDO</t>
        </is>
      </c>
      <c r="B60" s="251" t="n">
        <v>62</v>
      </c>
      <c r="C60" s="251" t="n">
        <v>59</v>
      </c>
      <c r="D60" s="251" t="inlineStr">
        <is>
          <t>Kit de ferramenta para instalação do conector tipo cunha</t>
        </is>
      </c>
      <c r="E60" s="251" t="n">
        <v>1</v>
      </c>
      <c r="F60" s="277" t="n">
        <v>2150</v>
      </c>
      <c r="G60" s="251" t="inlineStr">
        <is>
          <t>49</t>
        </is>
      </c>
      <c r="H60" s="251" t="inlineStr">
        <is>
          <t>Ferramenta para conector cunha tipo pequena ( 1 cabeçote )</t>
        </is>
      </c>
      <c r="I60" s="251" t="inlineStr">
        <is>
          <t>PC</t>
        </is>
      </c>
      <c r="J60" s="251" t="n">
        <v>1</v>
      </c>
      <c r="K60" s="277" t="n">
        <v>2150</v>
      </c>
      <c r="L60" s="277" t="n">
        <v>2150</v>
      </c>
    </row>
    <row r="61">
      <c r="A61" s="251" t="inlineStr">
        <is>
          <t>PREENCHIDO</t>
        </is>
      </c>
      <c r="B61" s="251" t="n">
        <v>63</v>
      </c>
      <c r="C61" s="251" t="n">
        <v>60</v>
      </c>
      <c r="D61" s="251" t="inlineStr">
        <is>
          <t>Kit para salvamento/resgate em altura conforme especificação técnica COPEL - ETS 1090</t>
        </is>
      </c>
      <c r="E61" s="251" t="n">
        <v>1</v>
      </c>
      <c r="F61" s="277" t="n">
        <v>2260</v>
      </c>
      <c r="G61" s="251" t="inlineStr">
        <is>
          <t>50</t>
        </is>
      </c>
      <c r="H61" s="251" t="inlineStr">
        <is>
          <t>Kit resgate conforme ETS 1090 - Copel</t>
        </is>
      </c>
      <c r="I61" s="251" t="inlineStr">
        <is>
          <t>PC</t>
        </is>
      </c>
      <c r="J61" s="251" t="n">
        <v>1</v>
      </c>
      <c r="K61" s="277" t="n">
        <v>2260</v>
      </c>
      <c r="L61" s="277" t="n">
        <v>2260</v>
      </c>
    </row>
    <row r="62">
      <c r="A62" s="251" t="inlineStr">
        <is>
          <t>PREENCHIDO</t>
        </is>
      </c>
      <c r="B62" s="251" t="n">
        <v>64</v>
      </c>
      <c r="C62" s="251" t="n">
        <v>61</v>
      </c>
      <c r="D62" s="251" t="inlineStr">
        <is>
          <t>Lanterna elétrica manual</t>
        </is>
      </c>
      <c r="E62" s="251" t="n">
        <v>1</v>
      </c>
      <c r="F62" s="277" t="n">
        <v>185</v>
      </c>
      <c r="G62" s="251" t="inlineStr">
        <is>
          <t>51</t>
        </is>
      </c>
      <c r="H62" s="251" t="inlineStr">
        <is>
          <t>Lanterna recarregável cor preta/verde com 1 LED de 7W de alta potência</t>
        </is>
      </c>
      <c r="I62" s="251" t="inlineStr">
        <is>
          <t>PC</t>
        </is>
      </c>
      <c r="J62" s="251" t="n">
        <v>1</v>
      </c>
      <c r="K62" s="277" t="n">
        <v>185</v>
      </c>
      <c r="L62" s="277" t="n">
        <v>185</v>
      </c>
    </row>
    <row r="63">
      <c r="A63" s="251" t="inlineStr">
        <is>
          <t>PREENCHIDO</t>
        </is>
      </c>
      <c r="B63" s="251" t="n">
        <v>65</v>
      </c>
      <c r="C63" s="251" t="n">
        <v>62</v>
      </c>
      <c r="D63" s="251" t="inlineStr">
        <is>
          <t>Lanterna para capacete</t>
        </is>
      </c>
      <c r="E63" s="251" t="n">
        <v>3</v>
      </c>
      <c r="F63" s="277" t="n">
        <v>119</v>
      </c>
      <c r="G63" s="251" t="inlineStr">
        <is>
          <t>52</t>
        </is>
      </c>
      <c r="H63" s="251" t="inlineStr">
        <is>
          <t>Lanterna de cabeça 1 led 12W recarregável</t>
        </is>
      </c>
      <c r="I63" s="251" t="inlineStr">
        <is>
          <t>PC</t>
        </is>
      </c>
      <c r="J63" s="251" t="n">
        <v>3</v>
      </c>
      <c r="K63" s="277" t="n">
        <v>119</v>
      </c>
      <c r="L63" s="277" t="n">
        <v>357</v>
      </c>
    </row>
    <row r="64">
      <c r="A64" s="251" t="inlineStr">
        <is>
          <t>PREENCHIDO</t>
        </is>
      </c>
      <c r="B64" s="251" t="n">
        <v>66</v>
      </c>
      <c r="C64" s="251" t="n">
        <v>63</v>
      </c>
      <c r="D64" s="251" t="inlineStr">
        <is>
          <t>Lima mursa</t>
        </is>
      </c>
      <c r="E64" s="251" t="n">
        <v>1</v>
      </c>
      <c r="F64" s="277" t="n">
        <v>22</v>
      </c>
      <c r="G64" s="251" t="inlineStr">
        <is>
          <t>53</t>
        </is>
      </c>
      <c r="H64" s="251" t="inlineStr">
        <is>
          <t>Lima chata para enxada tipo murça com cabo 8" -</t>
        </is>
      </c>
      <c r="I64" s="251" t="inlineStr">
        <is>
          <t>PC</t>
        </is>
      </c>
      <c r="J64" s="251" t="n">
        <v>1</v>
      </c>
      <c r="K64" s="277" t="n">
        <v>22</v>
      </c>
      <c r="L64" s="277" t="n">
        <v>22</v>
      </c>
    </row>
    <row r="65">
      <c r="A65" s="251" t="inlineStr">
        <is>
          <t>PREENCHIDO</t>
        </is>
      </c>
      <c r="B65" s="251" t="n">
        <v>67</v>
      </c>
      <c r="C65" s="251" t="n">
        <v>64</v>
      </c>
      <c r="D65" s="251" t="inlineStr">
        <is>
          <t>Lona de 300 x 4.000 mm</t>
        </is>
      </c>
      <c r="E65" s="251" t="n">
        <v>1</v>
      </c>
      <c r="F65" s="277" t="n">
        <v>440</v>
      </c>
      <c r="G65" s="251" t="inlineStr">
        <is>
          <t>54</t>
        </is>
      </c>
      <c r="H65" s="251" t="inlineStr">
        <is>
          <t>Lona vinílica ( PVC 400 micras ) dupla face cor laranja/preto 3m x 4m</t>
        </is>
      </c>
      <c r="I65" s="251" t="inlineStr">
        <is>
          <t>PC</t>
        </is>
      </c>
      <c r="J65" s="251" t="n">
        <v>1</v>
      </c>
      <c r="K65" s="277" t="n">
        <v>440</v>
      </c>
      <c r="L65" s="277" t="n">
        <v>440</v>
      </c>
    </row>
    <row r="66">
      <c r="A66" s="251" t="inlineStr">
        <is>
          <t>PREENCHIDO</t>
        </is>
      </c>
      <c r="B66" s="251" t="n">
        <v>68</v>
      </c>
      <c r="C66" s="251" t="n">
        <v>65</v>
      </c>
      <c r="D66" s="251" t="inlineStr">
        <is>
          <t>Marreta 500g</t>
        </is>
      </c>
      <c r="E66" s="251" t="n">
        <v>1</v>
      </c>
      <c r="F66" s="277" t="n">
        <v>36</v>
      </c>
      <c r="G66" s="251" t="inlineStr">
        <is>
          <t>55</t>
        </is>
      </c>
      <c r="H66" s="251" t="inlineStr">
        <is>
          <t>Marreta oitavada cabo madeira 500g</t>
        </is>
      </c>
      <c r="I66" s="251" t="inlineStr">
        <is>
          <t>PC</t>
        </is>
      </c>
      <c r="J66" s="251" t="n">
        <v>1</v>
      </c>
      <c r="K66" s="277" t="n">
        <v>36</v>
      </c>
      <c r="L66" s="277" t="n">
        <v>36</v>
      </c>
    </row>
    <row r="67">
      <c r="A67" s="251" t="inlineStr">
        <is>
          <t>NÃO PREENCHIDO - sem correspondente seguro</t>
        </is>
      </c>
      <c r="B67" s="251" t="n">
        <v>69</v>
      </c>
      <c r="C67" s="251" t="n">
        <v>66</v>
      </c>
      <c r="D67" s="251" t="inlineStr">
        <is>
          <t>Matriz c. hidráulica 12 t – índice 242 (RDR) - sextavada</t>
        </is>
      </c>
      <c r="E67" s="251" t="n">
        <v>1</v>
      </c>
      <c r="F67" s="277" t="n"/>
      <c r="G67" s="251" t="str"/>
      <c r="H67" s="251" t="str"/>
      <c r="I67" s="251" t="str"/>
      <c r="J67" s="251" t="str"/>
      <c r="K67" s="277" t="str"/>
      <c r="L67" s="277" t="str"/>
    </row>
    <row r="68">
      <c r="A68" s="251" t="inlineStr">
        <is>
          <t>NÃO PREENCHIDO - sem correspondente seguro</t>
        </is>
      </c>
      <c r="B68" s="251" t="n">
        <v>70</v>
      </c>
      <c r="C68" s="251" t="n">
        <v>67</v>
      </c>
      <c r="D68" s="251" t="inlineStr">
        <is>
          <t>Matriz c. hidráulica 12 t – índice 245A (RDU e RDR) - sextavada</t>
        </is>
      </c>
      <c r="E68" s="251" t="n">
        <v>1</v>
      </c>
      <c r="F68" s="277" t="n"/>
      <c r="G68" s="251" t="str"/>
      <c r="H68" s="251" t="str"/>
      <c r="I68" s="251" t="str"/>
      <c r="J68" s="251" t="str"/>
      <c r="K68" s="277" t="str"/>
      <c r="L68" s="277" t="str"/>
    </row>
    <row r="69">
      <c r="A69" s="251" t="inlineStr">
        <is>
          <t>NÃO PREENCHIDO - sem correspondente seguro</t>
        </is>
      </c>
      <c r="B69" s="251" t="n">
        <v>71</v>
      </c>
      <c r="C69" s="251" t="n">
        <v>68</v>
      </c>
      <c r="D69" s="251" t="inlineStr">
        <is>
          <t>Matriz c. hidráulica 12 t – índice 248 (RDR) - sextavada</t>
        </is>
      </c>
      <c r="E69" s="251" t="n">
        <v>1</v>
      </c>
      <c r="F69" s="277" t="n"/>
      <c r="G69" s="251" t="str"/>
      <c r="H69" s="251" t="str"/>
      <c r="I69" s="251" t="str"/>
      <c r="J69" s="251" t="str"/>
      <c r="K69" s="277" t="str"/>
      <c r="L69" s="277" t="str"/>
    </row>
    <row r="70">
      <c r="A70" s="251" t="inlineStr">
        <is>
          <t>NÃO PREENCHIDO - sem correspondente seguro</t>
        </is>
      </c>
      <c r="B70" s="251" t="n">
        <v>72</v>
      </c>
      <c r="C70" s="251" t="n">
        <v>69</v>
      </c>
      <c r="D70" s="251" t="inlineStr">
        <is>
          <t>Matriz c. hidráulica 12 t – índice 249A (RDU, RDR e Litoral) - sextavada</t>
        </is>
      </c>
      <c r="E70" s="251" t="n">
        <v>1</v>
      </c>
      <c r="F70" s="277" t="n"/>
      <c r="G70" s="251" t="str"/>
      <c r="H70" s="251" t="str"/>
      <c r="I70" s="251" t="str"/>
      <c r="J70" s="251" t="str"/>
      <c r="K70" s="277" t="str"/>
      <c r="L70" s="277" t="str"/>
    </row>
    <row r="71">
      <c r="A71" s="251" t="inlineStr">
        <is>
          <t>NÃO PREENCHIDO - sem correspondente seguro</t>
        </is>
      </c>
      <c r="B71" s="251" t="n">
        <v>73</v>
      </c>
      <c r="C71" s="251" t="n">
        <v>70</v>
      </c>
      <c r="D71" s="251" t="inlineStr">
        <is>
          <t>Matriz c. hidráulica 12 t – índice 317 (RDU)</t>
        </is>
      </c>
      <c r="E71" s="251" t="n">
        <v>1</v>
      </c>
      <c r="F71" s="277" t="n"/>
      <c r="G71" s="251" t="str"/>
      <c r="H71" s="251" t="str"/>
      <c r="I71" s="251" t="str"/>
      <c r="J71" s="251" t="str"/>
      <c r="K71" s="277" t="str"/>
      <c r="L71" s="277" t="str"/>
    </row>
    <row r="72">
      <c r="A72" s="251" t="inlineStr">
        <is>
          <t>NÃO PREENCHIDO - sem correspondente seguro</t>
        </is>
      </c>
      <c r="B72" s="251" t="n">
        <v>74</v>
      </c>
      <c r="C72" s="251" t="n">
        <v>71</v>
      </c>
      <c r="D72" s="251" t="inlineStr">
        <is>
          <t>Matriz c. hidráulica 12 t – índice 321A (RDU) - sextavada</t>
        </is>
      </c>
      <c r="E72" s="251" t="n">
        <v>1</v>
      </c>
      <c r="F72" s="277" t="n"/>
      <c r="G72" s="251" t="str"/>
      <c r="H72" s="251" t="str"/>
      <c r="I72" s="251" t="str"/>
      <c r="J72" s="251" t="str"/>
      <c r="K72" s="277" t="str"/>
      <c r="L72" s="277" t="str"/>
    </row>
    <row r="73">
      <c r="A73" s="251" t="inlineStr">
        <is>
          <t>NÃO PREENCHIDO - sem correspondente seguro</t>
        </is>
      </c>
      <c r="B73" s="251" t="n">
        <v>75</v>
      </c>
      <c r="C73" s="251" t="n">
        <v>72</v>
      </c>
      <c r="D73" s="251" t="inlineStr">
        <is>
          <t>Matriz c. mecânica 4 t – índice 162 (RDU, RDR e Litoral)</t>
        </is>
      </c>
      <c r="E73" s="251" t="n">
        <v>1</v>
      </c>
      <c r="F73" s="277" t="n"/>
      <c r="G73" s="251" t="str"/>
      <c r="H73" s="251" t="str"/>
      <c r="I73" s="251" t="str"/>
      <c r="J73" s="251" t="str"/>
      <c r="K73" s="277" t="str"/>
      <c r="L73" s="277" t="str"/>
    </row>
    <row r="74">
      <c r="A74" s="251" t="inlineStr">
        <is>
          <t>NÃO PREENCHIDO - sem correspondente seguro</t>
        </is>
      </c>
      <c r="B74" s="251" t="n">
        <v>76</v>
      </c>
      <c r="C74" s="251" t="n">
        <v>73</v>
      </c>
      <c r="D74" s="251" t="inlineStr">
        <is>
          <t>Matriz c. mecânica 4 t – índice 163 (RDU, RDR e Litoral)</t>
        </is>
      </c>
      <c r="E74" s="251" t="n">
        <v>1</v>
      </c>
      <c r="F74" s="277" t="n"/>
      <c r="G74" s="251" t="str"/>
      <c r="H74" s="251" t="str"/>
      <c r="I74" s="251" t="str"/>
      <c r="J74" s="251" t="str"/>
      <c r="K74" s="277" t="str"/>
      <c r="L74" s="277" t="str"/>
    </row>
    <row r="75">
      <c r="A75" s="251" t="inlineStr">
        <is>
          <t>NÃO PREENCHIDO - sem correspondente seguro</t>
        </is>
      </c>
      <c r="B75" s="251" t="n">
        <v>77</v>
      </c>
      <c r="C75" s="251" t="n">
        <v>74</v>
      </c>
      <c r="D75" s="251" t="inlineStr">
        <is>
          <t>Matriz c. mecânica 4 t – índice 236 (RDU, RDR e Litoral)</t>
        </is>
      </c>
      <c r="E75" s="251" t="n">
        <v>1</v>
      </c>
      <c r="F75" s="277" t="n"/>
      <c r="G75" s="251" t="str"/>
      <c r="H75" s="251" t="str"/>
      <c r="I75" s="251" t="str"/>
      <c r="J75" s="251" t="str"/>
      <c r="K75" s="277" t="str"/>
      <c r="L75" s="277" t="str"/>
    </row>
    <row r="76">
      <c r="A76" s="251" t="inlineStr">
        <is>
          <t>NÃO PREENCHIDO - sem correspondente seguro</t>
        </is>
      </c>
      <c r="B76" s="251" t="n">
        <v>78</v>
      </c>
      <c r="C76" s="251" t="n">
        <v>75</v>
      </c>
      <c r="D76" s="251" t="inlineStr">
        <is>
          <t>Matriz c. mecânica 4 t – índice 237 (RDU, RDR e Litoral)</t>
        </is>
      </c>
      <c r="E76" s="251" t="n">
        <v>1</v>
      </c>
      <c r="F76" s="277" t="n"/>
      <c r="G76" s="251" t="str"/>
      <c r="H76" s="251" t="str"/>
      <c r="I76" s="251" t="str"/>
      <c r="J76" s="251" t="str"/>
      <c r="K76" s="277" t="str"/>
      <c r="L76" s="277" t="str"/>
    </row>
    <row r="77">
      <c r="A77" s="251" t="inlineStr">
        <is>
          <t>NÃO PREENCHIDO - sem correspondente seguro</t>
        </is>
      </c>
      <c r="B77" s="251" t="n">
        <v>79</v>
      </c>
      <c r="C77" s="251" t="n">
        <v>76</v>
      </c>
      <c r="D77" s="251" t="inlineStr">
        <is>
          <t xml:space="preserve">Matriz c. mecânica 4 t – índice 242 (RDU e RDR) </t>
        </is>
      </c>
      <c r="E77" s="251" t="n">
        <v>1</v>
      </c>
      <c r="F77" s="277" t="n"/>
      <c r="G77" s="251" t="str"/>
      <c r="H77" s="251" t="str"/>
      <c r="I77" s="251" t="str"/>
      <c r="J77" s="251" t="str"/>
      <c r="K77" s="277" t="str"/>
      <c r="L77" s="277" t="str"/>
    </row>
    <row r="78">
      <c r="A78" s="251" t="inlineStr">
        <is>
          <t>NÃO PREENCHIDO - sem correspondente seguro</t>
        </is>
      </c>
      <c r="B78" s="251" t="n">
        <v>80</v>
      </c>
      <c r="C78" s="251" t="n">
        <v>77</v>
      </c>
      <c r="D78" s="251" t="inlineStr">
        <is>
          <t>Matriz c. mecânica 4 t – índice 243 (RDU, RDR e Litoral)</t>
        </is>
      </c>
      <c r="E78" s="251" t="n">
        <v>1</v>
      </c>
      <c r="F78" s="277" t="n"/>
      <c r="G78" s="251" t="str"/>
      <c r="H78" s="251" t="str"/>
      <c r="I78" s="251" t="str"/>
      <c r="J78" s="251" t="str"/>
      <c r="K78" s="277" t="str"/>
      <c r="L78" s="277" t="str"/>
    </row>
    <row r="79">
      <c r="A79" s="251" t="inlineStr">
        <is>
          <t>NÃO PREENCHIDO - sem correspondente seguro</t>
        </is>
      </c>
      <c r="B79" s="251" t="n">
        <v>81</v>
      </c>
      <c r="C79" s="251" t="n">
        <v>78</v>
      </c>
      <c r="D79" s="251" t="inlineStr">
        <is>
          <t>Matriz c. mecânica 4 t – índice 245 (RDU e RDR)</t>
        </is>
      </c>
      <c r="E79" s="251" t="n">
        <v>1</v>
      </c>
      <c r="F79" s="277" t="n"/>
      <c r="G79" s="251" t="str"/>
      <c r="H79" s="251" t="str"/>
      <c r="I79" s="251" t="str"/>
      <c r="J79" s="251" t="str"/>
      <c r="K79" s="277" t="str"/>
      <c r="L79" s="277" t="str"/>
    </row>
    <row r="80">
      <c r="A80" s="251" t="inlineStr">
        <is>
          <t>PREENCHIDO</t>
        </is>
      </c>
      <c r="B80" s="251" t="n">
        <v>82</v>
      </c>
      <c r="C80" s="251" t="n">
        <v>79</v>
      </c>
      <c r="D80" s="251" t="inlineStr">
        <is>
          <t>Moitão linha viva duplo sem corda – 400 daN - conjunto</t>
        </is>
      </c>
      <c r="E80" s="251" t="n">
        <v>2</v>
      </c>
      <c r="F80" s="277" t="n">
        <v>1390</v>
      </c>
      <c r="G80" s="251" t="inlineStr">
        <is>
          <t>67</t>
        </is>
      </c>
      <c r="H80" s="251" t="inlineStr">
        <is>
          <t>Moitão duplo leve de plástico uso até 400daN com 15m corda</t>
        </is>
      </c>
      <c r="I80" s="251" t="inlineStr">
        <is>
          <t>PC</t>
        </is>
      </c>
      <c r="J80" s="251" t="n">
        <v>2</v>
      </c>
      <c r="K80" s="277" t="n">
        <v>1390</v>
      </c>
      <c r="L80" s="277" t="n">
        <v>2780</v>
      </c>
    </row>
    <row r="81">
      <c r="A81" s="251" t="inlineStr">
        <is>
          <t>PREENCHIDO</t>
        </is>
      </c>
      <c r="B81" s="251" t="n">
        <v>83</v>
      </c>
      <c r="C81" s="251" t="n">
        <v>80</v>
      </c>
      <c r="D81" s="251" t="inlineStr">
        <is>
          <t>Moitão linha viva triplo sem corda – 1000 daN - conjunto</t>
        </is>
      </c>
      <c r="E81" s="251" t="n">
        <v>1</v>
      </c>
      <c r="F81" s="277" t="n">
        <v>1980</v>
      </c>
      <c r="G81" s="251" t="inlineStr">
        <is>
          <t>68</t>
        </is>
      </c>
      <c r="H81" s="251" t="inlineStr">
        <is>
          <t>Moitão triplo de termoplástico cor preto uso até 1589daN com 45m corda</t>
        </is>
      </c>
      <c r="I81" s="251" t="inlineStr">
        <is>
          <t>PC</t>
        </is>
      </c>
      <c r="J81" s="251" t="n">
        <v>1</v>
      </c>
      <c r="K81" s="277" t="n">
        <v>1980</v>
      </c>
      <c r="L81" s="277" t="n">
        <v>1980</v>
      </c>
    </row>
    <row r="82">
      <c r="A82" s="251" t="inlineStr">
        <is>
          <t>NÃO PREENCHIDO - sem correspondente seguro</t>
        </is>
      </c>
      <c r="B82" s="251" t="n">
        <v>84</v>
      </c>
      <c r="C82" s="251" t="n">
        <v>81</v>
      </c>
      <c r="D82" s="251" t="inlineStr">
        <is>
          <t>Motosserra 1,5 HP</t>
        </is>
      </c>
      <c r="E82" s="251" t="n">
        <v>1</v>
      </c>
      <c r="F82" s="277" t="n"/>
      <c r="G82" s="251" t="str"/>
      <c r="H82" s="251" t="str"/>
      <c r="I82" s="251" t="str"/>
      <c r="J82" s="251" t="str"/>
      <c r="K82" s="277" t="str"/>
      <c r="L82" s="277" t="str"/>
    </row>
    <row r="83">
      <c r="A83" s="251" t="inlineStr">
        <is>
          <t>PREENCHIDO</t>
        </is>
      </c>
      <c r="B83" s="251" t="n">
        <v>85</v>
      </c>
      <c r="C83" s="251" t="n">
        <v>82</v>
      </c>
      <c r="D83" s="251" t="inlineStr">
        <is>
          <t>Parafuso sela para poste duplo T</t>
        </is>
      </c>
      <c r="E83" s="251" t="n">
        <v>2</v>
      </c>
      <c r="F83" s="277" t="n">
        <v>770</v>
      </c>
      <c r="G83" s="251" t="inlineStr">
        <is>
          <t>69</t>
        </is>
      </c>
      <c r="H83" s="251" t="inlineStr">
        <is>
          <t>Parafuso sela com colar 64mm uso em poste DT para LV</t>
        </is>
      </c>
      <c r="I83" s="251" t="inlineStr">
        <is>
          <t>PC</t>
        </is>
      </c>
      <c r="J83" s="251" t="n">
        <v>2</v>
      </c>
      <c r="K83" s="277" t="n">
        <v>770</v>
      </c>
      <c r="L83" s="277" t="n">
        <v>1540</v>
      </c>
    </row>
    <row r="84">
      <c r="A84" s="251" t="inlineStr">
        <is>
          <t>PREENCHIDO</t>
        </is>
      </c>
      <c r="B84" s="251" t="n">
        <v>86</v>
      </c>
      <c r="C84" s="251" t="n">
        <v>83</v>
      </c>
      <c r="D84" s="251" t="inlineStr">
        <is>
          <t>Placa de alerta 20x30cm com descrição: “Atenção - Não opere este equipamento”</t>
        </is>
      </c>
      <c r="E84" s="251" t="n">
        <v>1</v>
      </c>
      <c r="F84" s="277" t="n">
        <v>39</v>
      </c>
      <c r="G84" s="251" t="inlineStr">
        <is>
          <t>70</t>
        </is>
      </c>
      <c r="H84" s="251" t="inlineStr">
        <is>
          <t>Placa de sinalização em PVC cor AMARELA c/ilhoses - ATENÇÃO - NÃO OPERE ESTE EQUIPAMENTO - 33cx25cm</t>
        </is>
      </c>
      <c r="I84" s="251" t="inlineStr">
        <is>
          <t>PC</t>
        </is>
      </c>
      <c r="J84" s="251" t="n">
        <v>1</v>
      </c>
      <c r="K84" s="277" t="n">
        <v>39</v>
      </c>
      <c r="L84" s="277" t="n">
        <v>39</v>
      </c>
    </row>
    <row r="85">
      <c r="A85" s="251" t="inlineStr">
        <is>
          <t>PREENCHIDO</t>
        </is>
      </c>
      <c r="B85" s="251" t="n">
        <v>87</v>
      </c>
      <c r="C85" s="251" t="n">
        <v>84</v>
      </c>
      <c r="D85" s="251" t="inlineStr">
        <is>
          <t>Pregador manual de cobertura</t>
        </is>
      </c>
      <c r="E85" s="251" t="n">
        <v>12</v>
      </c>
      <c r="F85" s="277" t="n">
        <v>106</v>
      </c>
      <c r="G85" s="251" t="inlineStr">
        <is>
          <t>71</t>
        </is>
      </c>
      <c r="H85" s="251" t="inlineStr">
        <is>
          <t>Pregador para lençois isolantes com 240mm para LV</t>
        </is>
      </c>
      <c r="I85" s="251" t="inlineStr">
        <is>
          <t>PC</t>
        </is>
      </c>
      <c r="J85" s="251" t="n">
        <v>12</v>
      </c>
      <c r="K85" s="277" t="n">
        <v>106</v>
      </c>
      <c r="L85" s="277" t="n">
        <v>1272</v>
      </c>
    </row>
    <row r="86">
      <c r="A86" s="251" t="inlineStr">
        <is>
          <t>PREENCHIDO</t>
        </is>
      </c>
      <c r="B86" s="251" t="n">
        <v>88</v>
      </c>
      <c r="C86" s="251" t="n">
        <v>85</v>
      </c>
      <c r="D86" s="251" t="inlineStr">
        <is>
          <t>Presilha de suspensão sem isolador</t>
        </is>
      </c>
      <c r="E86" s="251" t="n">
        <v>3</v>
      </c>
      <c r="F86" s="277" t="n">
        <v>310</v>
      </c>
      <c r="G86" s="251" t="inlineStr">
        <is>
          <t>72</t>
        </is>
      </c>
      <c r="H86" s="251" t="inlineStr">
        <is>
          <t>Presilha de elevação 1'' sem isolador para</t>
        </is>
      </c>
      <c r="I86" s="251" t="inlineStr">
        <is>
          <t>PC</t>
        </is>
      </c>
      <c r="J86" s="251" t="n">
        <v>3</v>
      </c>
      <c r="K86" s="277" t="n">
        <v>310</v>
      </c>
      <c r="L86" s="277" t="n">
        <v>930</v>
      </c>
    </row>
    <row r="87">
      <c r="A87" s="251" t="inlineStr">
        <is>
          <t>PREENCHIDO</t>
        </is>
      </c>
      <c r="B87" s="251" t="n">
        <v>89</v>
      </c>
      <c r="C87" s="251" t="n">
        <v>86</v>
      </c>
      <c r="D87" s="251" t="inlineStr">
        <is>
          <t>Protetor de lona para lençóis</t>
        </is>
      </c>
      <c r="E87" s="251" t="n">
        <v>1</v>
      </c>
      <c r="F87" s="277" t="n">
        <v>48</v>
      </c>
      <c r="G87" s="251" t="inlineStr">
        <is>
          <t>129</t>
        </is>
      </c>
      <c r="H87" s="251" t="inlineStr">
        <is>
          <t>Bolsa para 4 lençois BT 40cmx12cmx15cm - em lona verde</t>
        </is>
      </c>
      <c r="I87" s="251" t="inlineStr">
        <is>
          <t>PC</t>
        </is>
      </c>
      <c r="J87" s="251" t="n">
        <v>1</v>
      </c>
      <c r="K87" s="277" t="n">
        <v>48</v>
      </c>
      <c r="L87" s="277" t="n">
        <v>48</v>
      </c>
    </row>
    <row r="88">
      <c r="A88" s="251" t="inlineStr">
        <is>
          <t>NÃO PREENCHIDO - sem correspondente seguro</t>
        </is>
      </c>
      <c r="B88" s="251" t="n">
        <v>90</v>
      </c>
      <c r="C88" s="251" t="n">
        <v>87</v>
      </c>
      <c r="D88" s="251" t="inlineStr">
        <is>
          <t>Protetor de polietileno para caçamba 50 kV</t>
        </is>
      </c>
      <c r="E88" s="251" t="n">
        <v>2</v>
      </c>
      <c r="F88" s="277" t="n"/>
      <c r="G88" s="251" t="str"/>
      <c r="H88" s="251" t="str"/>
      <c r="I88" s="251" t="str"/>
      <c r="J88" s="251" t="str"/>
      <c r="K88" s="277" t="str"/>
      <c r="L88" s="277" t="str"/>
    </row>
    <row r="89">
      <c r="A89" s="251" t="inlineStr">
        <is>
          <t>PREENCHIDO</t>
        </is>
      </c>
      <c r="B89" s="251" t="n">
        <v>91</v>
      </c>
      <c r="C89" s="251" t="n">
        <v>88</v>
      </c>
      <c r="D89" s="251" t="inlineStr">
        <is>
          <t>Sacola de lona de vinyl para acondicionamento de vara de manobra</t>
        </is>
      </c>
      <c r="E89" s="251" t="n">
        <v>1</v>
      </c>
      <c r="F89" s="277" t="n">
        <v>105</v>
      </c>
      <c r="G89" s="251" t="inlineStr">
        <is>
          <t>135</t>
        </is>
      </c>
      <c r="H89" s="251" t="inlineStr">
        <is>
          <t>Bolsa para VM 4 elementos 150cmx36cm - em lona verde</t>
        </is>
      </c>
      <c r="I89" s="251" t="inlineStr">
        <is>
          <t>PC</t>
        </is>
      </c>
      <c r="J89" s="251" t="n">
        <v>1</v>
      </c>
      <c r="K89" s="277" t="n">
        <v>105</v>
      </c>
      <c r="L89" s="277" t="n">
        <v>105</v>
      </c>
    </row>
    <row r="90">
      <c r="A90" s="251" t="inlineStr">
        <is>
          <t>PREENCHIDO</t>
        </is>
      </c>
      <c r="B90" s="251" t="n">
        <v>92</v>
      </c>
      <c r="C90" s="251" t="n">
        <v>89</v>
      </c>
      <c r="D90" s="251" t="inlineStr">
        <is>
          <t>Sacola para manga de borracha</t>
        </is>
      </c>
      <c r="E90" s="251" t="n">
        <v>1</v>
      </c>
      <c r="F90" s="277" t="n">
        <v>52</v>
      </c>
      <c r="G90" s="251" t="inlineStr">
        <is>
          <t>73</t>
        </is>
      </c>
      <c r="H90" s="251" t="inlineStr">
        <is>
          <t>Bolsa para manga isolante 70cmx30cmx5cm em lona verde</t>
        </is>
      </c>
      <c r="I90" s="251" t="inlineStr">
        <is>
          <t>PC</t>
        </is>
      </c>
      <c r="J90" s="251" t="n">
        <v>3</v>
      </c>
      <c r="K90" s="277" t="n">
        <v>52</v>
      </c>
      <c r="L90" s="277" t="n">
        <v>156</v>
      </c>
    </row>
    <row r="91">
      <c r="A91" s="251" t="inlineStr">
        <is>
          <t>PREENCHIDO</t>
        </is>
      </c>
      <c r="B91" s="251" t="n">
        <v>93</v>
      </c>
      <c r="C91" s="251" t="n">
        <v>90</v>
      </c>
      <c r="D91" s="251" t="inlineStr">
        <is>
          <t>Sela com colar 38 mm</t>
        </is>
      </c>
      <c r="E91" s="251" t="n">
        <v>1</v>
      </c>
      <c r="F91" s="277" t="n">
        <v>860</v>
      </c>
      <c r="G91" s="251" t="inlineStr">
        <is>
          <t>74</t>
        </is>
      </c>
      <c r="H91" s="251" t="inlineStr">
        <is>
          <t>Sela para poste com extensor-colar 38mm para</t>
        </is>
      </c>
      <c r="I91" s="251" t="inlineStr">
        <is>
          <t>PC</t>
        </is>
      </c>
      <c r="J91" s="251" t="n">
        <v>1</v>
      </c>
      <c r="K91" s="277" t="n">
        <v>860</v>
      </c>
      <c r="L91" s="277" t="n">
        <v>860</v>
      </c>
    </row>
    <row r="92">
      <c r="A92" s="251" t="inlineStr">
        <is>
          <t>PREENCHIDO</t>
        </is>
      </c>
      <c r="B92" s="251" t="n">
        <v>94</v>
      </c>
      <c r="C92" s="251" t="n">
        <v>91</v>
      </c>
      <c r="D92" s="251" t="inlineStr">
        <is>
          <t>Sela para amarração de corda</t>
        </is>
      </c>
      <c r="E92" s="251" t="n">
        <v>1</v>
      </c>
      <c r="F92" s="277" t="n">
        <v>510</v>
      </c>
      <c r="G92" s="251" t="inlineStr">
        <is>
          <t>75</t>
        </is>
      </c>
      <c r="H92" s="251" t="inlineStr">
        <is>
          <t>Sela para amarração de corda para LV</t>
        </is>
      </c>
      <c r="I92" s="251" t="inlineStr">
        <is>
          <t>PC</t>
        </is>
      </c>
      <c r="J92" s="251" t="n">
        <v>1</v>
      </c>
      <c r="K92" s="277" t="n">
        <v>510</v>
      </c>
      <c r="L92" s="277" t="n">
        <v>510</v>
      </c>
    </row>
    <row r="93">
      <c r="A93" s="251" t="inlineStr">
        <is>
          <t>PREENCHIDO - valor composto, revisar</t>
        </is>
      </c>
      <c r="B93" s="251" t="n">
        <v>95</v>
      </c>
      <c r="C93" s="251" t="n">
        <v>92</v>
      </c>
      <c r="D93" s="251" t="inlineStr">
        <is>
          <t>Serra para galhos adaptável em vara de manobra</t>
        </is>
      </c>
      <c r="E93" s="251" t="n">
        <v>2</v>
      </c>
      <c r="F93" s="277" t="n">
        <v>313</v>
      </c>
      <c r="G93" s="251" t="inlineStr">
        <is>
          <t>76, 77</t>
        </is>
      </c>
      <c r="H93" s="251" t="inlineStr">
        <is>
          <t>Lâmina para serrote de poda com gancho 14" - sem adaptador + Adaptador em aço com parafusos para lâmina de poda ref 21330</t>
        </is>
      </c>
      <c r="I93" s="251" t="inlineStr">
        <is>
          <t>PC, PC</t>
        </is>
      </c>
      <c r="J93" s="251" t="inlineStr">
        <is>
          <t>2, 2</t>
        </is>
      </c>
      <c r="K93" s="277" t="inlineStr">
        <is>
          <t>195, 118</t>
        </is>
      </c>
      <c r="L93" s="277" t="n">
        <v>626</v>
      </c>
    </row>
    <row r="94">
      <c r="A94" s="251" t="inlineStr">
        <is>
          <t>NÃO PREENCHIDO - sem correspondente seguro</t>
        </is>
      </c>
      <c r="B94" s="251" t="n">
        <v>96</v>
      </c>
      <c r="C94" s="251" t="n">
        <v>93</v>
      </c>
      <c r="D94" s="251" t="inlineStr">
        <is>
          <t>Serra poda hidráulica ISOLADA PARA LINHA VIVA;longa 2000 rs</t>
        </is>
      </c>
      <c r="E94" s="251" t="n">
        <v>1</v>
      </c>
      <c r="F94" s="277" t="n"/>
      <c r="G94" s="251" t="str"/>
      <c r="H94" s="251" t="str"/>
      <c r="I94" s="251" t="str"/>
      <c r="J94" s="251" t="str"/>
      <c r="K94" s="277" t="str"/>
      <c r="L94" s="277" t="str"/>
    </row>
    <row r="95">
      <c r="A95" s="251" t="inlineStr">
        <is>
          <t>PREENCHIDO</t>
        </is>
      </c>
      <c r="B95" s="251" t="n">
        <v>97</v>
      </c>
      <c r="C95" s="251" t="n">
        <v>94</v>
      </c>
      <c r="D95" s="251" t="inlineStr">
        <is>
          <t xml:space="preserve">Suporte isolado para “by-pass” </t>
        </is>
      </c>
      <c r="E95" s="251" t="n">
        <v>3</v>
      </c>
      <c r="F95" s="277" t="n">
        <v>380</v>
      </c>
      <c r="G95" s="251" t="inlineStr">
        <is>
          <t>78</t>
        </is>
      </c>
      <c r="H95" s="251" t="inlineStr">
        <is>
          <t>Suporte isolado para by pass 34,5kV para LV</t>
        </is>
      </c>
      <c r="I95" s="251" t="inlineStr">
        <is>
          <t>PC</t>
        </is>
      </c>
      <c r="J95" s="251" t="n">
        <v>3</v>
      </c>
      <c r="K95" s="277" t="n">
        <v>380</v>
      </c>
      <c r="L95" s="277" t="n">
        <v>1140</v>
      </c>
    </row>
    <row r="96">
      <c r="A96" s="251" t="inlineStr">
        <is>
          <t>PREENCHIDO</t>
        </is>
      </c>
      <c r="B96" s="251" t="n">
        <v>98</v>
      </c>
      <c r="C96" s="251" t="n">
        <v>95</v>
      </c>
      <c r="D96" s="251" t="inlineStr">
        <is>
          <t>Talha com tirante de nylon – 1000 kgf</t>
        </is>
      </c>
      <c r="E96" s="251" t="n">
        <v>2</v>
      </c>
      <c r="F96" s="277" t="n">
        <v>4490</v>
      </c>
      <c r="G96" s="251" t="inlineStr">
        <is>
          <t>79</t>
        </is>
      </c>
      <c r="H96" s="251" t="inlineStr">
        <is>
          <t>Talha reforçada com tirante de nylon para 1000Kg para LV</t>
        </is>
      </c>
      <c r="I96" s="251" t="inlineStr">
        <is>
          <t>PC</t>
        </is>
      </c>
      <c r="J96" s="251" t="n">
        <v>2</v>
      </c>
      <c r="K96" s="277" t="n">
        <v>4490</v>
      </c>
      <c r="L96" s="277" t="n">
        <v>8980</v>
      </c>
    </row>
    <row r="97">
      <c r="A97" s="251" t="inlineStr">
        <is>
          <t>PREENCHIDO</t>
        </is>
      </c>
      <c r="B97" s="251" t="n">
        <v>99</v>
      </c>
      <c r="C97" s="251" t="n">
        <v>96</v>
      </c>
      <c r="D97" s="251" t="inlineStr">
        <is>
          <t>Talha com tirante de nylon – 2000 kgf</t>
        </is>
      </c>
      <c r="E97" s="251" t="n">
        <v>1</v>
      </c>
      <c r="F97" s="277" t="n">
        <v>5150</v>
      </c>
      <c r="G97" s="251" t="inlineStr">
        <is>
          <t>80</t>
        </is>
      </c>
      <c r="H97" s="251" t="inlineStr">
        <is>
          <t>Talha reforçada com tirante de nylon para 2000Kg para LV</t>
        </is>
      </c>
      <c r="I97" s="251" t="inlineStr">
        <is>
          <t>PC</t>
        </is>
      </c>
      <c r="J97" s="251" t="n">
        <v>1</v>
      </c>
      <c r="K97" s="277" t="n">
        <v>5150</v>
      </c>
      <c r="L97" s="277" t="n">
        <v>5150</v>
      </c>
    </row>
    <row r="98">
      <c r="A98" s="251" t="inlineStr">
        <is>
          <t>PREENCHIDO</t>
        </is>
      </c>
      <c r="B98" s="251" t="n">
        <v>100</v>
      </c>
      <c r="C98" s="251" t="n">
        <v>97</v>
      </c>
      <c r="D98" s="251" t="inlineStr">
        <is>
          <t>Terminal para “by-pass” com cabo 35 mm²</t>
        </is>
      </c>
      <c r="E98" s="251" t="n">
        <v>12</v>
      </c>
      <c r="F98" s="277" t="n">
        <v>119</v>
      </c>
      <c r="G98" s="251" t="inlineStr">
        <is>
          <t>81</t>
        </is>
      </c>
      <c r="H98" s="251" t="inlineStr">
        <is>
          <t>Terminal de cobre para grampo isolado e cabo 2 AWG ( 35 mm2 ) isolado para LV</t>
        </is>
      </c>
      <c r="I98" s="251" t="inlineStr">
        <is>
          <t>PC</t>
        </is>
      </c>
      <c r="J98" s="251" t="n">
        <v>12</v>
      </c>
      <c r="K98" s="277" t="n">
        <v>119</v>
      </c>
      <c r="L98" s="277" t="n">
        <v>1428</v>
      </c>
    </row>
    <row r="99">
      <c r="A99" s="251" t="inlineStr">
        <is>
          <t>PREENCHIDO</t>
        </is>
      </c>
      <c r="B99" s="251" t="n">
        <v>101</v>
      </c>
      <c r="C99" s="251" t="n">
        <v>98</v>
      </c>
      <c r="D99" s="251" t="inlineStr">
        <is>
          <t>Terminal para “by-pass” com cabo 70 mm²</t>
        </is>
      </c>
      <c r="E99" s="251" t="n">
        <v>12</v>
      </c>
      <c r="F99" s="277" t="n">
        <v>140</v>
      </c>
      <c r="G99" s="251" t="inlineStr">
        <is>
          <t>82</t>
        </is>
      </c>
      <c r="H99" s="251" t="inlineStr">
        <is>
          <t>Terminal de cobre para grampo isolado e cabo 2/0 AWG ( 70 mm2 ) isolado para LV</t>
        </is>
      </c>
      <c r="I99" s="251" t="inlineStr">
        <is>
          <t>PC</t>
        </is>
      </c>
      <c r="J99" s="251" t="n">
        <v>12</v>
      </c>
      <c r="K99" s="277" t="n">
        <v>140</v>
      </c>
      <c r="L99" s="277" t="n">
        <v>1680</v>
      </c>
    </row>
    <row r="100">
      <c r="A100" s="251" t="inlineStr">
        <is>
          <t>PREENCHIDO</t>
        </is>
      </c>
      <c r="B100" s="251" t="n">
        <v>102</v>
      </c>
      <c r="C100" s="251" t="n">
        <v>99</v>
      </c>
      <c r="D100" s="251" t="inlineStr">
        <is>
          <t>Tesourão para corte de cabo 760mm</t>
        </is>
      </c>
      <c r="E100" s="251" t="n">
        <v>1</v>
      </c>
      <c r="F100" s="277" t="n">
        <v>2110</v>
      </c>
      <c r="G100" s="251" t="inlineStr">
        <is>
          <t>83</t>
        </is>
      </c>
      <c r="H100" s="251" t="inlineStr">
        <is>
          <t>Tesourão isolado 38mm e 0,84 m comp. para cabo até 556MCM ACSR 23,5mm diâmetro</t>
        </is>
      </c>
      <c r="I100" s="251" t="inlineStr">
        <is>
          <t>PC</t>
        </is>
      </c>
      <c r="J100" s="251" t="n">
        <v>1</v>
      </c>
      <c r="K100" s="277" t="n">
        <v>2110</v>
      </c>
      <c r="L100" s="277" t="n">
        <v>2110</v>
      </c>
    </row>
    <row r="101">
      <c r="A101" s="251" t="inlineStr">
        <is>
          <t>PREENCHIDO</t>
        </is>
      </c>
      <c r="B101" s="251" t="n">
        <v>103</v>
      </c>
      <c r="C101" s="251" t="n">
        <v>100</v>
      </c>
      <c r="D101" s="251" t="inlineStr">
        <is>
          <t>Trena de 50m</t>
        </is>
      </c>
      <c r="E101" s="251" t="n">
        <v>1</v>
      </c>
      <c r="F101" s="277" t="n">
        <v>49</v>
      </c>
      <c r="G101" s="251" t="inlineStr">
        <is>
          <t>84</t>
        </is>
      </c>
      <c r="H101" s="251" t="inlineStr">
        <is>
          <t>Trena de fibra longa tipo aberta com 50m - Starfer</t>
        </is>
      </c>
      <c r="I101" s="251" t="inlineStr">
        <is>
          <t>PC</t>
        </is>
      </c>
      <c r="J101" s="251" t="n">
        <v>1</v>
      </c>
      <c r="K101" s="277" t="n">
        <v>49</v>
      </c>
      <c r="L101" s="277" t="n">
        <v>49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2026-05-25T19:38:41Z</dcterms:created>
  <dcterms:modified xmlns:dcterms="http://purl.org/dc/terms/" xmlns:xsi="http://www.w3.org/2001/XMLSchema-instance" xsi:type="dcterms:W3CDTF">2026-05-25T19:38:41Z</dcterms:modified>
</cp:coreProperties>
</file>